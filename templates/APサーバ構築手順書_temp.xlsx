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workspace\SystemMigration\"/>
    </mc:Choice>
  </mc:AlternateContent>
  <xr:revisionPtr revIDLastSave="0" documentId="13_ncr:1_{10408CBA-3619-4817-98C0-9C74254A5FA4}" xr6:coauthVersionLast="47" xr6:coauthVersionMax="47" xr10:uidLastSave="{00000000-0000-0000-0000-000000000000}"/>
  <bookViews>
    <workbookView xWindow="20230" yWindow="540" windowWidth="17610" windowHeight="17860" firstSheet="2" activeTab="6" xr2:uid="{00000000-000D-0000-FFFF-FFFF00000000}"/>
  </bookViews>
  <sheets>
    <sheet name="表紙" sheetId="3" r:id="rId1"/>
    <sheet name="変更履歴" sheetId="5" r:id="rId2"/>
    <sheet name="比較" sheetId="11" r:id="rId3"/>
    <sheet name="目次" sheetId="6" r:id="rId4"/>
    <sheet name="概要・前提条件" sheetId="7" r:id="rId5"/>
    <sheet name="template" sheetId="10" r:id="rId6"/>
    <sheet name="Asteria" sheetId="14" r:id="rId7"/>
    <sheet name="Sheet1" sheetId="15" r:id="rId8"/>
  </sheets>
  <definedNames>
    <definedName name="___a3" hidden="1">{"'Sheet1 (3)'!$A$2:$O$9"}</definedName>
    <definedName name="___hxx2" hidden="1">{"'Sheet1 (3)'!$A$2:$O$9"}</definedName>
    <definedName name="___hxx3" hidden="1">{"'Sheet1 (3)'!$A$2:$O$9"}</definedName>
    <definedName name="__a2">#REF!</definedName>
    <definedName name="__a3" hidden="1">{"'Sheet1 (3)'!$A$2:$O$9"}</definedName>
    <definedName name="__a99999">#REF!</definedName>
    <definedName name="__hxx2" hidden="1">{"'Sheet1 (3)'!$A$2:$O$9"}</definedName>
    <definedName name="__hxx3" hidden="1">{"'Sheet1 (3)'!$A$2:$O$9"}</definedName>
    <definedName name="__ＭＧ１">#REF!</definedName>
    <definedName name="__ＭＧ２">#REF!</definedName>
    <definedName name="__ＭＧ３">#REF!</definedName>
    <definedName name="__ＭＧ４">#REF!</definedName>
    <definedName name="__ＯＶ１">#REF!</definedName>
    <definedName name="__ＯＶ２">#REF!</definedName>
    <definedName name="__ＯＶ３">#REF!</definedName>
    <definedName name="__ＯＶ４">#REF!</definedName>
    <definedName name="__SB2">#REF!</definedName>
    <definedName name="__ＳＰ１">#REF!</definedName>
    <definedName name="__ＳＰ２">#REF!</definedName>
    <definedName name="__ＳＰ３">#REF!</definedName>
    <definedName name="__ＳＰ４">#REF!</definedName>
    <definedName name="__UB1">#REF!</definedName>
    <definedName name="__UB4">#REF!</definedName>
    <definedName name="_10_RecordAdminのクロス集計">#REF!</definedName>
    <definedName name="_1a2_">#REF!</definedName>
    <definedName name="_20_母集団①">#REF!</definedName>
    <definedName name="_20_母集団①のクロス集計">#REF!</definedName>
    <definedName name="_30_母集団②">#REF!</definedName>
    <definedName name="_40_母集団③">#REF!</definedName>
    <definedName name="_50_母集団④">#REF!</definedName>
    <definedName name="_8a3_" hidden="1">{"'Sheet1 (3)'!$A$2:$O$9"}</definedName>
    <definedName name="_a2">#REF!</definedName>
    <definedName name="_a3" hidden="1">{"'Sheet1 (3)'!$A$2:$O$9"}</definedName>
    <definedName name="_a99999">#REF!</definedName>
    <definedName name="_Fill" hidden="1">#REF!</definedName>
    <definedName name="_hxx2" hidden="1">{"'Sheet1 (3)'!$A$2:$O$9"}</definedName>
    <definedName name="_hxx3" hidden="1">{"'Sheet1 (3)'!$A$2:$O$9"}</definedName>
    <definedName name="_ＭＧ１">#REF!</definedName>
    <definedName name="_ＭＧ２">#REF!</definedName>
    <definedName name="_ＭＧ３">#REF!</definedName>
    <definedName name="_ＭＧ４">#REF!</definedName>
    <definedName name="_ＯＶ１">#REF!</definedName>
    <definedName name="_ＯＶ２">#REF!</definedName>
    <definedName name="_ＯＶ３">#REF!</definedName>
    <definedName name="_ＯＶ４">#REF!</definedName>
    <definedName name="_SB2">#REF!</definedName>
    <definedName name="_ＳＰ１">#REF!</definedName>
    <definedName name="_ＳＰ２">#REF!</definedName>
    <definedName name="_ＳＰ３">#REF!</definedName>
    <definedName name="_ＳＰ４">#REF!</definedName>
    <definedName name="_Table1_In1" hidden="1">#REF!</definedName>
    <definedName name="_Table1_Out" hidden="1">#REF!</definedName>
    <definedName name="_UB1">#REF!</definedName>
    <definedName name="_UB4">#REF!</definedName>
    <definedName name="A">#REF!</definedName>
    <definedName name="a3x" hidden="1">{"'Sheet1 (3)'!$A$2:$O$9"}</definedName>
    <definedName name="aa" hidden="1">{#N/A,#N/A,FALSE,"勤管理原"}</definedName>
    <definedName name="AAA" hidden="1">{#N/A,#N/A,FALSE,"勤管理原"}</definedName>
    <definedName name="aaaa" hidden="1">{#N/A,#N/A,FALSE,"勤管理原"}</definedName>
    <definedName name="aaaaa" hidden="1">{#N/A,#N/A,FALSE,"勤管理原"}</definedName>
    <definedName name="aaaaaa" hidden="1">{#N/A,#N/A,FALSE,"勤管理原"}</definedName>
    <definedName name="aaaaaaa" hidden="1">{#N/A,#N/A,FALSE,"勤管理原"}</definedName>
    <definedName name="aaaaaaaaa" hidden="1">{#N/A,#N/A,FALSE,"勤管理原"}</definedName>
    <definedName name="aaaaaaaaaa" hidden="1">{#N/A,#N/A,FALSE,"勤管理原"}</definedName>
    <definedName name="aaaaaaaaaaa" hidden="1">{"'Sheet1 (3)'!$A$2:$O$9"}</definedName>
    <definedName name="aaaaaaaaaaaaa">#REF!</definedName>
    <definedName name="aaaaaaaaaaaaaaaaa" hidden="1">{#N/A,#N/A,FALSE,"勤管理原"}</definedName>
    <definedName name="aaaaaaaaaaaaaaaaaaaaaa" hidden="1">{#N/A,#N/A,FALSE,"勤管理原"}</definedName>
    <definedName name="aaaaaaaaaaaaaaaaaaaaaaa">#REF!</definedName>
    <definedName name="aaaaaaaaaaaaaaaaaaaaaaaaaaaaaaaaa" hidden="1">{#N/A,#N/A,FALSE,"勤管理原"}</definedName>
    <definedName name="aas" hidden="1">{#N/A,#N/A,FALSE,"勤管理原"}</definedName>
    <definedName name="aax" hidden="1">{#N/A,#N/A,FALSE,"勤管理原"}</definedName>
    <definedName name="AccessDatabase" hidden="1">"C:\Documents and Settings\kawana.OHSAKI\My Documents\作業中\ＤＢらいぶらり.mdb"</definedName>
    <definedName name="adddd">#REF!</definedName>
    <definedName name="aoshima">#REF!</definedName>
    <definedName name="aoshima2">#REF!</definedName>
    <definedName name="asdasddasdasdasdasdadad" hidden="1">{#N/A,#N/A,FALSE,"勤管理原"}</definedName>
    <definedName name="B">#REF!,#REF!,#REF!,#REF!,#REF!,#REF!,#REF!,#REF!,#REF!,#REF!,#REF!,#REF!,#REF!,#REF!,#REF!,#REF!,#REF!,#REF!,#REF!,#REF!,#REF!,#REF!,#REF!,#REF!,#REF!,#REF!,#REF!,#REF!,#REF!,#REF!,#REF!</definedName>
    <definedName name="BASE">#REF!</definedName>
    <definedName name="base1">#REF!</definedName>
    <definedName name="BASE2">#REF!</definedName>
    <definedName name="bb" hidden="1">{#N/A,#N/A,FALSE,"勤管理原"}</definedName>
    <definedName name="BLOCK">#REF!</definedName>
    <definedName name="bu">#REF!</definedName>
    <definedName name="cal_index_size">#REF!</definedName>
    <definedName name="cal_table_size">#REF!</definedName>
    <definedName name="CC05__ABBAAZのサンプル">#REF!</definedName>
    <definedName name="CC05__ABFAAZのサンプル">#REF!</definedName>
    <definedName name="CC05__ABFFAZのサンプル">#REF!</definedName>
    <definedName name="CC05__AFFAAZのサンプル">#REF!</definedName>
    <definedName name="CC05__AFFFAZのサンプル">#REF!</definedName>
    <definedName name="CC05__AFFFFZのサンプル">#REF!</definedName>
    <definedName name="CC05__BAAAAZのサンプル">#REF!</definedName>
    <definedName name="CC05__BFFAAZのサンプル">#REF!</definedName>
    <definedName name="CC05__BFFFAZのサンプル">#REF!</definedName>
    <definedName name="CC05__MG6桁">#REF!</definedName>
    <definedName name="CC05__社名がA">#REF!</definedName>
    <definedName name="CC05__社名がB">#REF!</definedName>
    <definedName name="CC06__MG6桁">#REF!</definedName>
    <definedName name="cccccc" hidden="1">{"'Sheet1 (3)'!$A$2:$O$9"}</definedName>
    <definedName name="cccccccc">#REF!</definedName>
    <definedName name="ccccccccc" hidden="1">{#N/A,#N/A,FALSE,"勤管理原"}</definedName>
    <definedName name="ccccccccccccccccccc" hidden="1">{"'Sheet1 (3)'!$A$2:$O$9"}</definedName>
    <definedName name="cccccccccccccccccccccccccc" hidden="1">{#N/A,#N/A,FALSE,"表一覧"}</definedName>
    <definedName name="ccscczxzCXzcx" hidden="1">{#N/A,#N/A,FALSE,"勤管理原"}</definedName>
    <definedName name="Compass画面">#REF!</definedName>
    <definedName name="Cost">SUM(#REF!)</definedName>
    <definedName name="csdcsdfdaqs" hidden="1">{#N/A,#N/A,FALSE,"勤管理原"}</definedName>
    <definedName name="CULC.cal_index_size">#REF!</definedName>
    <definedName name="DATA_SCALE">#REF!</definedName>
    <definedName name="DATA_SIZE">#REF!</definedName>
    <definedName name="DATA_TYPE">#REF!</definedName>
    <definedName name="_xlnm.Database">#REF!</definedName>
    <definedName name="dd">#REF!</definedName>
    <definedName name="dddddd">#REF!</definedName>
    <definedName name="DDIND">#REF!</definedName>
    <definedName name="DDTBL">#REF!</definedName>
    <definedName name="DEF_TABLE2">#REF!</definedName>
    <definedName name="DEFAULT_VAL">#REF!</definedName>
    <definedName name="DICT">#REF!</definedName>
    <definedName name="DIND">#REF!</definedName>
    <definedName name="DS_KEYS">#REF!</definedName>
    <definedName name="DS_NM">#REF!</definedName>
    <definedName name="E">#REF!</definedName>
    <definedName name="e1232123123123">#REF!</definedName>
    <definedName name="edwedewdwedewdewdwewqeddededeedweqd" hidden="1">{#N/A,#N/A,FALSE,"勤管理原"}</definedName>
    <definedName name="EIM">#REF!</definedName>
    <definedName name="EntityDict">#REF!</definedName>
    <definedName name="f">#REF!</definedName>
    <definedName name="Fd_list">#REF!</definedName>
    <definedName name="fd_no">#REF!</definedName>
    <definedName name="fd_no_new">#REF!</definedName>
    <definedName name="fewfsdfadsfsdf">#REF!</definedName>
    <definedName name="ff">#REF!</definedName>
    <definedName name="fff" hidden="1">{#N/A,#N/A,FALSE,"勤管理原"}</definedName>
    <definedName name="FGK">#REF!</definedName>
    <definedName name="Fixed_1">#REF!</definedName>
    <definedName name="FLG_PK">#REF!</definedName>
    <definedName name="gg">#REF!</definedName>
    <definedName name="gggg" hidden="1">{#N/A,#N/A,FALSE,"勤管理原"}</definedName>
    <definedName name="h" hidden="1">{"'Sheet1 (3)'!$A$2:$O$9"}</definedName>
    <definedName name="hhh" hidden="1">{#N/A,#N/A,FALSE,"勤管理原"}</definedName>
    <definedName name="HTML_CodePage" hidden="1">932</definedName>
    <definedName name="HTML_Control" hidden="1">{"'Sheet1 (3)'!$A$2:$O$9"}</definedName>
    <definedName name="Html_Control2" hidden="1">{"'Sheet1 (3)'!$A$2:$O$9"}</definedName>
    <definedName name="Html_Control3" hidden="1">{"'Sheet1 (3)'!$A$2:$O$9"}</definedName>
    <definedName name="HTML_Description" hidden="1">""</definedName>
    <definedName name="HTML_Email" hidden="1">""</definedName>
    <definedName name="HTML_Header" hidden="1">"01(部門_人事用1)"</definedName>
    <definedName name="HTML_LastUpdate" hidden="1">"98/09/07"</definedName>
    <definedName name="HTML_LineAfter" hidden="1">FALSE</definedName>
    <definedName name="HTML_LineBefore" hidden="1">FALSE</definedName>
    <definedName name="HTML_Name" hidden="1">"古瀬"</definedName>
    <definedName name="HTML_OBDlg2" hidden="1">TRUE</definedName>
    <definedName name="HTML_OBDlg4" hidden="1">TRUE</definedName>
    <definedName name="HTML_OS" hidden="1">0</definedName>
    <definedName name="HTML_PathFile" hidden="1">"\\RINRIN\trident\cosmos\siyou\db_layout\事業部New\01(部門_人事用2).htm"</definedName>
    <definedName name="HTML_Title" hidden="1">"01(部門_人事用1)"</definedName>
    <definedName name="IFｻｲｸﾙ">#REF!</definedName>
    <definedName name="IF形態">#REF!</definedName>
    <definedName name="iii" hidden="1">{#N/A,#N/A,FALSE,"勤管理原"}</definedName>
    <definedName name="jjj" hidden="1">{#N/A,#N/A,FALSE,"勤管理原"}</definedName>
    <definedName name="JobList">#REF!</definedName>
    <definedName name="JOBタイプ">#REF!</definedName>
    <definedName name="KCBH">#REF!</definedName>
    <definedName name="KDBH">#REF!</definedName>
    <definedName name="KDBT">#REF!</definedName>
    <definedName name="KEYS">#REF!</definedName>
    <definedName name="kkk" hidden="1">{#N/A,#N/A,FALSE,"勤管理原"}</definedName>
    <definedName name="KTBBH">#REF!</definedName>
    <definedName name="KTBIT">#REF!</definedName>
    <definedName name="lll" hidden="1">{#N/A,#N/A,FALSE,"勤管理原"}</definedName>
    <definedName name="M">#REF!</definedName>
    <definedName name="match">#REF!</definedName>
    <definedName name="ＭＤ０５０一覧">#REF!</definedName>
    <definedName name="MPSO">#REF!</definedName>
    <definedName name="N">#REF!</definedName>
    <definedName name="NAME">#REF!</definedName>
    <definedName name="NAMES">#REF!</definedName>
    <definedName name="NEC_KEYS">#REF!</definedName>
    <definedName name="NII" hidden="1">{#N/A,#N/A,FALSE,"勤管理原"}</definedName>
    <definedName name="nn">#REF!</definedName>
    <definedName name="NULL_FLG">#REF!</definedName>
    <definedName name="O">#REF!</definedName>
    <definedName name="OkOrNot">#REF!</definedName>
    <definedName name="p" hidden="1">{"'Sheet1 (3)'!$A$2:$O$9"}</definedName>
    <definedName name="_xlnm.Print_Area" localSheetId="6">Asteria!$A$1:$K$20</definedName>
    <definedName name="_xlnm.Print_Area" localSheetId="5">template!$A$1:$K$13</definedName>
    <definedName name="_xlnm.Print_Area" localSheetId="4">概要・前提条件!$A$1:$H$53</definedName>
    <definedName name="_xlnm.Print_Area" localSheetId="2">比較!$A$1:$G$30</definedName>
    <definedName name="_xlnm.Print_Area" localSheetId="0">表紙!$A$1:$T$27</definedName>
    <definedName name="_xlnm.Print_Area" localSheetId="1">変更履歴!$A$1:$F$15</definedName>
    <definedName name="_xlnm.Print_Area" localSheetId="3">目次!$A$1:$E$33</definedName>
    <definedName name="_xlnm.Print_Area">#REF!</definedName>
    <definedName name="PRINT_AREA_MI">#REF!</definedName>
    <definedName name="Print_Title">#REF!</definedName>
    <definedName name="_xlnm.Print_Titles" localSheetId="6">Asteria!$10:$10</definedName>
    <definedName name="_xlnm.Print_Titles" localSheetId="5">template!$3:$3</definedName>
    <definedName name="_xlnm.Print_Titles" localSheetId="4">概要・前提条件!$1:$1</definedName>
    <definedName name="_xlnm.Print_Titles" localSheetId="2">比較!$3:$3</definedName>
    <definedName name="_xlnm.Print_Titles" localSheetId="1">変更履歴!$3:$3</definedName>
    <definedName name="_xlnm.Print_Titles" localSheetId="3">目次!$3:$3</definedName>
    <definedName name="Q" hidden="1">{"'Sheet1 (3)'!$A$2:$O$9"}</definedName>
    <definedName name="qdewdewdwed" hidden="1">{#N/A,#N/A,FALSE,"勤管理原"}</definedName>
    <definedName name="ｑｑ">#REF!</definedName>
    <definedName name="qqq" hidden="1">{#N/A,#N/A,FALSE,"勤管理原"}</definedName>
    <definedName name="qwwqw" hidden="1">{#N/A,#N/A,FALSE,"表一覧"}</definedName>
    <definedName name="REMARK">#REF!</definedName>
    <definedName name="ROW_NAME">#REF!</definedName>
    <definedName name="ｓ" hidden="1">{#N/A,#N/A,FALSE,"表一覧"}</definedName>
    <definedName name="Sh_open">#REF!</definedName>
    <definedName name="ss" hidden="1">{"'Sheet1 (3)'!$A$2:$O$9"}</definedName>
    <definedName name="ssasaasd" hidden="1">{"'Sheet1 (3)'!$A$2:$O$9"}</definedName>
    <definedName name="ｓｓｓ" hidden="1">{#N/A,#N/A,FALSE,"勤管理原"}</definedName>
    <definedName name="ｓｓｓｓｓｓｓｓｓｓ">#REF!</definedName>
    <definedName name="sssssssssss" hidden="1">{#N/A,#N/A,FALSE,"勤管理原"}</definedName>
    <definedName name="sssssssssssss" hidden="1">{#N/A,#N/A,FALSE,"勤管理原"}</definedName>
    <definedName name="ssssssssssssssssssss" hidden="1">{"'Sheet1 (3)'!$A$2:$O$9"}</definedName>
    <definedName name="ssssssssssssssssssssss" hidden="1">{"'Sheet1 (3)'!$A$2:$O$9"}</definedName>
    <definedName name="sssssssssssssssssssssss" hidden="1">{"'Sheet1 (3)'!$A$2:$O$9"}</definedName>
    <definedName name="ssssssssssssssssssssssssss" hidden="1">{#N/A,#N/A,FALSE,"勤管理原"}</definedName>
    <definedName name="sssssssssssssssssssssssssss" hidden="1">{"'Sheet1 (3)'!$A$2:$O$9"}</definedName>
    <definedName name="sssssssssssssssssssssssssssss" hidden="1">{#N/A,#N/A,FALSE,"勤管理原"}</definedName>
    <definedName name="ssssssssssssssssssssssssssssss" hidden="1">{#N/A,#N/A,FALSE,"勤管理原"}</definedName>
    <definedName name="sssssssssssssssssssssssssssssssssssss" hidden="1">{#N/A,#N/A,FALSE,"勤管理原"}</definedName>
    <definedName name="SubButtonEnable">#REF!</definedName>
    <definedName name="SubGetTogether">#REF!</definedName>
    <definedName name="SubMakeSQL">#REF!</definedName>
    <definedName name="SubNetList">#REF!</definedName>
    <definedName name="ｓｗｓｗｓｗｓｗ" hidden="1">{"'Sheet1 (3)'!$A$2:$O$9"}</definedName>
    <definedName name="ｓｗｓｗｗｓｗｓｗｓｗｓｗｓｗｓｗｓｗ" hidden="1">{#N/A,#N/A,FALSE,"勤管理原"}</definedName>
    <definedName name="SYMBOL">#REF!</definedName>
    <definedName name="T" hidden="1">{"'Sheet1 (3)'!$A$2:$O$9"}</definedName>
    <definedName name="t_name">#REF!</definedName>
    <definedName name="t_name_new">#REF!</definedName>
    <definedName name="taaaa" hidden="1">{"'Sheet1 (3)'!$A$2:$O$9"}</definedName>
    <definedName name="TABLEDICT">#REF!</definedName>
    <definedName name="TBL_KEYS">#REF!</definedName>
    <definedName name="TBL_KEYS2">#REF!</definedName>
    <definedName name="TT">#REF!</definedName>
    <definedName name="ｔｔｔ">#REF!</definedName>
    <definedName name="UNIQUE_FLG">#REF!</definedName>
    <definedName name="USED">#REF!</definedName>
    <definedName name="usernameTF">"usernameTF"</definedName>
    <definedName name="v" hidden="1">{"'Sheet1 (3)'!$A$2:$O$9"}</definedName>
    <definedName name="VIEWDICT">#REF!</definedName>
    <definedName name="vvvv">#REF!</definedName>
    <definedName name="wrn.勤務状況管理表." hidden="1">{#N/A,#N/A,FALSE,"勤管理原"}</definedName>
    <definedName name="wrn.仕様書表紙." hidden="1">{#N/A,#N/A,FALSE,"表一覧"}</definedName>
    <definedName name="xe" hidden="1">{"'Sheet1 (3)'!$A$2:$O$9"}</definedName>
    <definedName name="xh" hidden="1">{"'Sheet1 (3)'!$A$2:$O$9"}</definedName>
    <definedName name="xp" hidden="1">{"'Sheet1 (3)'!$A$2:$O$9"}</definedName>
    <definedName name="ＸＸ" hidden="1">{"'Sheet1 (3)'!$A$2:$O$9"}</definedName>
    <definedName name="ｘｘｘ" hidden="1">{#N/A,#N/A,FALSE,"勤管理原"}</definedName>
    <definedName name="ｘｘｘｘｘ">#REF!</definedName>
    <definedName name="ｘｘｘｘｘｘｘｘｘｘ" hidden="1">{#N/A,#N/A,FALSE,"勤管理原"}</definedName>
    <definedName name="xzc">#REF!</definedName>
    <definedName name="y" hidden="1">{"'Sheet1 (3)'!$A$2:$O$9"}</definedName>
    <definedName name="ＹＹ" hidden="1">{"'Sheet1 (3)'!$A$2:$O$9"}</definedName>
    <definedName name="ｙｙｙ">#REF!</definedName>
    <definedName name="ｚｚｚ">#REF!</definedName>
    <definedName name="ｚｚｚｚ">#REF!</definedName>
    <definedName name="あ">#REF!</definedName>
    <definedName name="あ１">#REF!</definedName>
    <definedName name="ああ" hidden="1">{#N/A,#N/A,FALSE,"勤管理原"}</definedName>
    <definedName name="ああ３" hidden="1">{"'Sheet1 (3)'!$A$2:$O$9"}</definedName>
    <definedName name="ああ３２" hidden="1">{"'Sheet1 (3)'!$A$2:$O$9"}</definedName>
    <definedName name="ああ３４" hidden="1">{"'Sheet1 (3)'!$A$2:$O$9"}</definedName>
    <definedName name="ああ４" hidden="1">{"'Sheet1 (3)'!$A$2:$O$9"}</definedName>
    <definedName name="ああ５" hidden="1">{"'Sheet1 (3)'!$A$2:$O$9"}</definedName>
    <definedName name="ああ５６" hidden="1">{"'Sheet1 (3)'!$A$2:$O$9"}</definedName>
    <definedName name="ああ６" hidden="1">{"'Sheet1 (3)'!$A$2:$O$9"}</definedName>
    <definedName name="ああ７" hidden="1">{"'Sheet1 (3)'!$A$2:$O$9"}</definedName>
    <definedName name="あああ">#REF!</definedName>
    <definedName name="あああ４" hidden="1">{"'Sheet1 (3)'!$A$2:$O$9"}</definedName>
    <definedName name="あああ４１１" hidden="1">{"'Sheet1 (3)'!$A$2:$O$9"}</definedName>
    <definedName name="あああ８" hidden="1">{"'Sheet1 (3)'!$A$2:$O$9"}</definedName>
    <definedName name="あああｑｑｑｑ" hidden="1">{#N/A,#N/A,FALSE,"勤管理原"}</definedName>
    <definedName name="ああああ" hidden="1">{"'Sheet1 (3)'!$A$2:$O$9"}</definedName>
    <definedName name="あああああ" hidden="1">{"'Sheet1 (3)'!$A$2:$O$9"}</definedName>
    <definedName name="アプレット名">#REF!</definedName>
    <definedName name="エスアイアール台帳未完成用">#REF!</definedName>
    <definedName name="エスアイ台帳未完成用">#REF!</definedName>
    <definedName name="くぁ">#REF!</definedName>
    <definedName name="クエリー4のクロス集計">#REF!</definedName>
    <definedName name="ステータス">#REF!</definedName>
    <definedName name="てｓｔ">#REF!</definedName>
    <definedName name="てすと" hidden="1">{#N/A,#N/A,FALSE,"勤管理原"}</definedName>
    <definedName name="テストマッチ_国別集計のクロス集計">#REF!</definedName>
    <definedName name="トラブル一覧表未完成用">#REF!</definedName>
    <definedName name="ﾌｧｲﾙ種別">#REF!</definedName>
    <definedName name="ﾏｯﾁ結果国別集計のクロス集計">#REF!</definedName>
    <definedName name="ワイドに">#REF!</definedName>
    <definedName name="卸未作成商談">#REF!</definedName>
    <definedName name="価格表条件">#REF!</definedName>
    <definedName name="画面ﾀｲﾌﾟ">#REF!</definedName>
    <definedName name="改修区分">#REF!</definedName>
    <definedName name="開発方針">#REF!</definedName>
    <definedName name="換算基準">#REF!</definedName>
    <definedName name="換算基準IF">#REF!</definedName>
    <definedName name="換算基準バッチ">#REF!</definedName>
    <definedName name="換算基準帳票">#REF!</definedName>
    <definedName name="基準値">#REF!</definedName>
    <definedName name="基盤">#REF!</definedName>
    <definedName name="貴社特別価格">#REF!</definedName>
    <definedName name="係数表">#REF!</definedName>
    <definedName name="係数表②">#REF!</definedName>
    <definedName name="見やすく">#REF!</definedName>
    <definedName name="見積伺書入力">#REF!</definedName>
    <definedName name="国内">#REF!</definedName>
    <definedName name="国内１">#REF!</definedName>
    <definedName name="国内２">#REF!</definedName>
    <definedName name="国別マシンマッチ結果">#REF!</definedName>
    <definedName name="国別集計用のクロス集計">#REF!</definedName>
    <definedName name="作業１">#REF!</definedName>
    <definedName name="作業２">#REF!</definedName>
    <definedName name="作業３">#REF!</definedName>
    <definedName name="作業４">#REF!</definedName>
    <definedName name="作成者">#REF!</definedName>
    <definedName name="仕入１">#REF!</definedName>
    <definedName name="仕入３">#REF!</definedName>
    <definedName name="受領フォーマット">#REF!</definedName>
    <definedName name="処理タイプ">#REF!</definedName>
    <definedName name="処理パターン">#REF!</definedName>
    <definedName name="処理対象">#REF!</definedName>
    <definedName name="処理頻度">#REF!</definedName>
    <definedName name="障害ステータス">#REF!</definedName>
    <definedName name="障害原因区分">#REF!</definedName>
    <definedName name="障害重要度">#REF!</definedName>
    <definedName name="情報システムDB">#REF!</definedName>
    <definedName name="情報鮮度要求">#REF!</definedName>
    <definedName name="新旧区分">#REF!</definedName>
    <definedName name="対応領域">#REF!</definedName>
    <definedName name="対象レガシーシステム名">#REF!</definedName>
    <definedName name="単位">#REF!</definedName>
    <definedName name="単価">#REF!</definedName>
    <definedName name="店舗DF_KEYS">#REF!</definedName>
    <definedName name="入力形式">#REF!</definedName>
    <definedName name="納品のクロス集計">#REF!</definedName>
    <definedName name="納品書用_調査結果">#REF!</definedName>
    <definedName name="配賦区分" hidden="1">{"'Sheet1 (3)'!$A$2:$O$9"}</definedName>
    <definedName name="配賦区分２" hidden="1">{"'Sheet1 (3)'!$A$2:$O$9"}</definedName>
    <definedName name="範囲">#REF!</definedName>
    <definedName name="番号">#REF!</definedName>
    <definedName name="費用">SUM(#REF!)</definedName>
    <definedName name="標準人件費">#REF!</definedName>
    <definedName name="物流DF_KEYS">#REF!</definedName>
    <definedName name="変更要求ステータス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4" l="1" a="1"/>
  <c r="A11" i="6"/>
  <c r="A12" i="6"/>
  <c r="A13" i="6"/>
  <c r="A14" i="6"/>
  <c r="A15" i="6"/>
  <c r="A16" i="6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5" i="1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5" i="6"/>
  <c r="A6" i="6" s="1"/>
  <c r="A7" i="6" s="1"/>
  <c r="A8" i="6" s="1"/>
  <c r="A9" i="6" s="1"/>
  <c r="A10" i="6" s="1"/>
  <c r="A1" i="10" a="1"/>
  <c r="A58" i="7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9" i="7"/>
  <c r="A10" i="7" s="1"/>
  <c r="A1" i="7" a="1"/>
  <c r="A1" i="5" a="1"/>
  <c r="A26" i="7"/>
  <c r="A27" i="7" s="1"/>
  <c r="A28" i="7" s="1"/>
  <c r="A29" i="7" s="1"/>
  <c r="A30" i="7" s="1"/>
  <c r="A31" i="7" s="1"/>
  <c r="A15" i="7"/>
  <c r="A16" i="7" s="1"/>
  <c r="A19" i="7" l="1"/>
  <c r="A17" i="7"/>
  <c r="A18" i="7" l="1"/>
  <c r="A21" i="7" s="1"/>
  <c r="A20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<sst xmlns="http://schemas.openxmlformats.org/spreadsheetml/2006/main" count="435" uniqueCount="243">
  <si>
    <t>バージョン</t>
  </si>
  <si>
    <t>更新内容</t>
  </si>
  <si>
    <t>PM承認：</t>
    <rPh sb="2" eb="4">
      <t>ショウニン</t>
    </rPh>
    <phoneticPr fontId="3"/>
  </si>
  <si>
    <t>承認日：</t>
    <rPh sb="0" eb="3">
      <t>ショウニンヒ</t>
    </rPh>
    <phoneticPr fontId="3"/>
  </si>
  <si>
    <t>APサーバ構築手順書</t>
    <rPh sb="5" eb="7">
      <t>コウチク</t>
    </rPh>
    <rPh sb="7" eb="10">
      <t>テジュンショ</t>
    </rPh>
    <phoneticPr fontId="8"/>
  </si>
  <si>
    <t>開発環境</t>
    <rPh sb="0" eb="2">
      <t>カイハツ</t>
    </rPh>
    <rPh sb="2" eb="4">
      <t>カンキョウ</t>
    </rPh>
    <phoneticPr fontId="8"/>
  </si>
  <si>
    <t>作成者：湯　志華</t>
    <rPh sb="0" eb="2">
      <t>サクセイ</t>
    </rPh>
    <rPh sb="2" eb="3">
      <t>シャ</t>
    </rPh>
    <rPh sb="4" eb="5">
      <t>トウ</t>
    </rPh>
    <rPh sb="6" eb="7">
      <t>ココロザシ</t>
    </rPh>
    <rPh sb="7" eb="8">
      <t>ハナ</t>
    </rPh>
    <phoneticPr fontId="8"/>
  </si>
  <si>
    <t>作成日：2026/10/16</t>
    <rPh sb="0" eb="3">
      <t>サクセイビ</t>
    </rPh>
    <phoneticPr fontId="8"/>
  </si>
  <si>
    <t>更新日：2026/10/16</t>
    <rPh sb="0" eb="3">
      <t>コウシンビ</t>
    </rPh>
    <phoneticPr fontId="3"/>
  </si>
  <si>
    <t>作業内容</t>
    <rPh sb="0" eb="2">
      <t>サギョウ</t>
    </rPh>
    <rPh sb="2" eb="4">
      <t>ナイヨウ</t>
    </rPh>
    <phoneticPr fontId="4"/>
  </si>
  <si>
    <t>作成者</t>
  </si>
  <si>
    <t>作成日</t>
  </si>
  <si>
    <t>確認者</t>
  </si>
  <si>
    <t>確認日</t>
  </si>
  <si>
    <t>新規作成</t>
  </si>
  <si>
    <t>1.0.0</t>
    <phoneticPr fontId="4"/>
  </si>
  <si>
    <t>湯　志華</t>
    <rPh sb="0" eb="1">
      <t>トウ</t>
    </rPh>
    <rPh sb="2" eb="3">
      <t>ココロザシ</t>
    </rPh>
    <rPh sb="3" eb="4">
      <t>ハナ</t>
    </rPh>
    <phoneticPr fontId="4"/>
  </si>
  <si>
    <t>目次</t>
  </si>
  <si>
    <t>No</t>
  </si>
  <si>
    <t>シート名</t>
  </si>
  <si>
    <t>内容</t>
  </si>
  <si>
    <t>実施状況</t>
  </si>
  <si>
    <t>備考</t>
  </si>
  <si>
    <t>表紙</t>
  </si>
  <si>
    <t>－</t>
  </si>
  <si>
    <t>概要・前提条件</t>
  </si>
  <si>
    <t>Java（Amazon Corretto 8）の導入手順</t>
  </si>
  <si>
    <t>Tomcat インスタンス（ap01～ap06）ごとの設定手順</t>
  </si>
  <si>
    <t>初期状態の保全と、初期状態への切り戻しの手順</t>
  </si>
  <si>
    <t>切り戻し</t>
    <phoneticPr fontId="4"/>
  </si>
  <si>
    <t>変更履歴</t>
    <rPh sb="0" eb="2">
      <t>ヘンコウ</t>
    </rPh>
    <phoneticPr fontId="4"/>
  </si>
  <si>
    <t>タイトル、作成者、作成日、更新日、PM承認、承認日</t>
    <phoneticPr fontId="4"/>
  </si>
  <si>
    <t>バージョンごとの更新内容</t>
    <phoneticPr fontId="4"/>
  </si>
  <si>
    <t>シートの一覧（本シート）</t>
    <phoneticPr fontId="4"/>
  </si>
  <si>
    <t>目次へ戻る</t>
  </si>
  <si>
    <t>1. 目的</t>
  </si>
  <si>
    <t>切り戻し判断者</t>
  </si>
  <si>
    <t>エスカレーション先</t>
  </si>
  <si>
    <t>種別</t>
  </si>
  <si>
    <t>名称</t>
  </si>
  <si>
    <t>入手元</t>
  </si>
  <si>
    <t>配置先</t>
  </si>
  <si>
    <t>チェックサム</t>
  </si>
  <si>
    <t>RPM</t>
  </si>
  <si>
    <t>war</t>
  </si>
  <si>
    <t>用語</t>
  </si>
  <si>
    <t>説明</t>
  </si>
  <si>
    <t>dev／qa／honban</t>
  </si>
  <si>
    <t>開発環境／検証環境／本番環境。</t>
  </si>
  <si>
    <t>ap01～ap06</t>
  </si>
  <si>
    <t>EC2</t>
  </si>
  <si>
    <t>AMI</t>
  </si>
  <si>
    <t>EBS</t>
  </si>
  <si>
    <t>IAM</t>
  </si>
  <si>
    <t>UBI</t>
  </si>
  <si>
    <t>mod_proxy_http</t>
  </si>
  <si>
    <t>AJP</t>
  </si>
  <si>
    <t>JMX</t>
  </si>
  <si>
    <t>EDR</t>
  </si>
  <si>
    <t>Endpoint Detection and Response。サーバや端末上の不審な動きを検知して対応する製品。</t>
  </si>
  <si>
    <t>Tanium Client</t>
  </si>
  <si>
    <t>SELinux</t>
  </si>
  <si>
    <t>systemd</t>
  </si>
  <si>
    <t>ASTERIA Warp</t>
  </si>
  <si>
    <t>エビデンス</t>
  </si>
  <si>
    <t>作業を実施した証跡。コマンドの実行結果など。</t>
  </si>
  <si>
    <t>切り戻し</t>
  </si>
  <si>
    <t>作業前の状態に戻すこと（ロールバック）。</t>
  </si>
  <si>
    <t>msu.war</t>
    <phoneticPr fontId="4"/>
  </si>
  <si>
    <t>apc.war</t>
    <phoneticPr fontId="4"/>
  </si>
  <si>
    <t>mu2.war</t>
    <phoneticPr fontId="4"/>
  </si>
  <si>
    <t>mst.war</t>
    <phoneticPr fontId="4"/>
  </si>
  <si>
    <t>fmt.war</t>
    <phoneticPr fontId="4"/>
  </si>
  <si>
    <t>api.war</t>
    <phoneticPr fontId="4"/>
  </si>
  <si>
    <t>RPM</t>
    <phoneticPr fontId="4"/>
  </si>
  <si>
    <t>機密情報の取り扱い</t>
    <phoneticPr fontId="4"/>
  </si>
  <si>
    <t>設定ファイルの変更</t>
    <phoneticPr fontId="4"/>
  </si>
  <si>
    <t>取り消しにくい操作</t>
    <phoneticPr fontId="4"/>
  </si>
  <si>
    <t>ローカル検証の扱い</t>
    <phoneticPr fontId="4"/>
  </si>
  <si>
    <t>記載のない操作の禁止</t>
    <phoneticPr fontId="4"/>
  </si>
  <si>
    <t>エビデンスの取得</t>
    <phoneticPr fontId="4"/>
  </si>
  <si>
    <t>既存の設定ファイルを変更する場合は、変更前にバックアップを取得し、変更後に差分を確認すること。</t>
    <phoneticPr fontId="4"/>
  </si>
  <si>
    <t>削除、上書き、再起動、サービス停止などの操作は、実行前に対象のサーバおよびパスを再確認すること。該当する手順には、備考欄に「【注意】」と記載すること。</t>
    <phoneticPr fontId="4"/>
  </si>
  <si>
    <t>本書に記載のない操作は実施しないこと。必要となった場合は作業を中断し、体制表のエスカレーション先に報告すること。</t>
    <phoneticPr fontId="4"/>
  </si>
  <si>
    <t>エビデンス（作業証跡）は、所定の方法で取得し、所定の保存先に保存すること。</t>
    <phoneticPr fontId="4"/>
  </si>
  <si>
    <t>4. 注意事項</t>
    <phoneticPr fontId="4"/>
  </si>
  <si>
    <t>■目次</t>
    <phoneticPr fontId="4"/>
  </si>
  <si>
    <t>機密情報（パスワード、秘密鍵、アクセスキー、接続先など）は、本書に実値を記載せず「＜別途管理＞」と記載すること。実行結果にも実値を残さないこと。</t>
    <phoneticPr fontId="4"/>
  </si>
  <si>
    <t>判定NG時の対応</t>
    <phoneticPr fontId="4"/>
  </si>
  <si>
    <t>APサーバを、AWS上のRHEL 8.10に新規構築する。</t>
    <rPh sb="10" eb="11">
      <t>ウエ</t>
    </rPh>
    <rPh sb="22" eb="24">
      <t>シンキ</t>
    </rPh>
    <rPh sb="24" eb="26">
      <t>コウチク</t>
    </rPh>
    <phoneticPr fontId="4"/>
  </si>
  <si>
    <t>次の手順に進まないこと。対応（原因調査、再実行、切り戻し）は、「切り戻し」シートの実施条件に従い、体制表の切り戻し判断者が判断すること。</t>
    <phoneticPr fontId="4"/>
  </si>
  <si>
    <t>Tomcatのインスタンス名。アプリケーションごとに1インスタンスを起動する（計6インスタンス）。</t>
    <phoneticPr fontId="4"/>
  </si>
  <si>
    <t>Amazon Elastic Compute Cloud。AWSの仮想サーバ。</t>
    <phoneticPr fontId="4"/>
  </si>
  <si>
    <t>Amazon Machine Image。EC2インスタンスの起動に使うイメージ。バックアップにも使う。</t>
    <phoneticPr fontId="4"/>
  </si>
  <si>
    <t>Amazon Elastic Block Store。EC2に接続するディスク（ブロックストレージ）。</t>
    <phoneticPr fontId="4"/>
  </si>
  <si>
    <t>AWS Identity and Access Management。AWSの権限管理の仕組み。</t>
    <phoneticPr fontId="4"/>
  </si>
  <si>
    <t>Red Hat Universal Base Image。Red Hatが提供するコンテナ用のベースイメージ。ローカル検証で使う。</t>
    <phoneticPr fontId="4"/>
  </si>
  <si>
    <t>ローカル検証の結果を、EC2実機の結果として代用しないこと。手順シートの実施環境を必ず選択し、結果を区別して記録すること。</t>
    <phoneticPr fontId="4"/>
  </si>
  <si>
    <t>Apache HTTP Serverのモジュール。受け取ったリクエストをHTTPでTomcatへ転送する。</t>
    <phoneticPr fontId="4"/>
  </si>
  <si>
    <t>Apache JServ Protocol。ApacheとTomcatを連携させるプロトコル。本プロジェクトでは使用せず、無効化する。</t>
    <phoneticPr fontId="4"/>
  </si>
  <si>
    <t>Java Management Extensions。Javaの監視・管理の仕組み。本プロジェクトではリモート接続を無効化する。</t>
    <phoneticPr fontId="4"/>
  </si>
  <si>
    <t>Web Application Archive。JavaのWebアプリケーションを1つにまとめたファイル。</t>
    <phoneticPr fontId="4"/>
  </si>
  <si>
    <t>RHELで使うソフトウェアパッケージの形式。</t>
    <phoneticPr fontId="4"/>
  </si>
  <si>
    <t>端末管理製品Taniumのエージェント（管理対象のサーバに導入するソフトウェア）。</t>
    <phoneticPr fontId="4"/>
  </si>
  <si>
    <t>Security-Enhanced Linux。Linuxのアクセス制御を強化する仕組み。</t>
    <phoneticPr fontId="4"/>
  </si>
  <si>
    <t>RHELでサービスの起動・停止・自動起動を管理する仕組み。</t>
    <phoneticPr fontId="4"/>
  </si>
  <si>
    <t>データ連携ツール。本プロジェクトではASTERIA Warp 2406に移行する。</t>
    <phoneticPr fontId="4"/>
  </si>
  <si>
    <t>Java</t>
    <phoneticPr fontId="4"/>
  </si>
  <si>
    <t>Apache</t>
    <phoneticPr fontId="4"/>
  </si>
  <si>
    <t>ASTERIA Warp</t>
    <phoneticPr fontId="4"/>
  </si>
  <si>
    <t>作業者</t>
    <rPh sb="0" eb="3">
      <t>サギョウシャ</t>
    </rPh>
    <phoneticPr fontId="4"/>
  </si>
  <si>
    <t>確認者</t>
    <rPh sb="0" eb="2">
      <t>カクニン</t>
    </rPh>
    <rPh sb="2" eb="3">
      <t>シャ</t>
    </rPh>
    <phoneticPr fontId="4"/>
  </si>
  <si>
    <t>承認者（PM）</t>
    <rPh sb="0" eb="3">
      <t>ショウニンシャ</t>
    </rPh>
    <phoneticPr fontId="4"/>
  </si>
  <si>
    <t>作業日</t>
    <phoneticPr fontId="4"/>
  </si>
  <si>
    <t>作業内容</t>
  </si>
  <si>
    <t>内容</t>
    <rPh sb="0" eb="2">
      <t>ナイヨウ</t>
    </rPh>
    <phoneticPr fontId="4"/>
  </si>
  <si>
    <t>事項</t>
    <rPh sb="0" eb="2">
      <t>ジコウ</t>
    </rPh>
    <phoneticPr fontId="4"/>
  </si>
  <si>
    <t>項番</t>
    <rPh sb="0" eb="2">
      <t>コウバン</t>
    </rPh>
    <phoneticPr fontId="4"/>
  </si>
  <si>
    <t>実施者</t>
  </si>
  <si>
    <t>手順No</t>
  </si>
  <si>
    <t>実行ユーザ</t>
  </si>
  <si>
    <t>コマンド・操作</t>
  </si>
  <si>
    <t>期待結果</t>
  </si>
  <si>
    <t>実行結果
（エビデンス貼付）</t>
  </si>
  <si>
    <t>判定</t>
  </si>
  <si>
    <t>実施日時</t>
  </si>
  <si>
    <t>事前確認</t>
  </si>
  <si>
    <t>変更前バックアップ</t>
  </si>
  <si>
    <t>事後確認</t>
  </si>
  <si>
    <t>作業</t>
  </si>
  <si>
    <t>設定ファイル（変更前・変更後）</t>
  </si>
  <si>
    <t>対象ファイル（フルパス）</t>
  </si>
  <si>
    <t>関連する
手順No</t>
  </si>
  <si>
    <t>変更後の内容（省略せずに記載）</t>
  </si>
  <si>
    <t>既存の設定ファイルを変更するときは、変更前バックアップ → 変更 → 差分確認 の順に行を並べる。変更前・変更後の内容は「設定ファイル（変更前・変更後）」欄に省略せずに書く。</t>
  </si>
  <si>
    <t>取り消しにくい操作（削除、上書き、再起動、サービス停止など）は、備考欄の先頭に赤字で「【注意】」と書く。</t>
  </si>
  <si>
    <t>判定が NG の場合は、次の手順に進まない。備考に状況を書き、「概要・前提条件」シートの体制表の連絡先に報告する。</t>
  </si>
  <si>
    <t>実行結果欄には、実施時の出力を貼り付ける。機密情報は「＜別途管理＞」に置き換える。</t>
  </si>
  <si>
    <t>製品の仕様は、移行後のバージョン（RHEL 8.10、Apache 2.4、Tomcat 9.0.122 など）の公式ドキュメントで確認して書く。確認できない内容は推測で書かずに「要確認」とし、オレンジで色分けして「要確認事項一覧」シートに登録する。</t>
  </si>
  <si>
    <t>現行と移行後で値や設定が異なる箇所は、黄色で色分けする。</t>
  </si>
  <si>
    <t>記入が終わったら、灰色の「＜記入＞」と記入例（薄い灰色の背景の行）が残っていないことを確認する。該当しない欄は「－」とする。</t>
  </si>
  <si>
    <t>区分は、事前確認 → 変更前バックアップ → 作業 → 事後確認 の順に並べる。区分「切り戻し」は、その章の作業だけを元に戻す手順に使う。全体を初期状態に戻す手順は「切り戻し」シートに書く。</t>
    <phoneticPr fontId="4"/>
  </si>
  <si>
    <t>1コマンド（または1操作）を1行に書く。手順Noは「章番号-連番」（例：4-3）とし、行を追加・削除したら振り直す。</t>
    <phoneticPr fontId="4"/>
  </si>
  <si>
    <t>コマンド・操作欄には、プロンプト記号（#や$）を付けない。コピーしてそのまま実行できる形で、省略せずに書く。</t>
    <phoneticPr fontId="4"/>
  </si>
  <si>
    <t>環境ごとに異なる値は手順に直書きせず、「パラメータシート」のIDを【P-OS-001】の形で書く。実行時に、実施環境の列の値に置き換える。</t>
    <phoneticPr fontId="4"/>
  </si>
  <si>
    <t>期待結果は、OK／NGを判断できる具体的な形（確認コマンドの出力、終了コード、状態）で書く。「エラーが出ないこと」のような書き方はしない。作業の行の後に、結果を確認する事後確認の行を置く。</t>
    <phoneticPr fontId="4"/>
  </si>
  <si>
    <t>実施環境を必ず選ぶ。実行結果は実施環境ごとに記録し、ローカル検証とEC2実機で同じシートを使い回さない（シートまたはファイルを複製して記録する）。ローカル検証で確認できない手順は、備考に「ローカル検証不可」と理由を書く。</t>
    <phoneticPr fontId="4"/>
  </si>
  <si>
    <t>5. 用語</t>
    <phoneticPr fontId="4"/>
  </si>
  <si>
    <t>3. 事前準備物</t>
    <phoneticPr fontId="4"/>
  </si>
  <si>
    <t>2. 体制</t>
    <rPh sb="3" eb="5">
      <t>タイセイ</t>
    </rPh>
    <phoneticPr fontId="4"/>
  </si>
  <si>
    <t>目的、体制、事前準備物、注意事項、用語、記入ルール</t>
    <rPh sb="20" eb="22">
      <t>キニュウ</t>
    </rPh>
    <phoneticPr fontId="4"/>
  </si>
  <si>
    <t>6. 記入ルール</t>
    <rPh sb="3" eb="5">
      <t>キニュウ</t>
    </rPh>
    <phoneticPr fontId="4"/>
  </si>
  <si>
    <t>変更前の内容（省略せずに記載）</t>
    <phoneticPr fontId="4"/>
  </si>
  <si>
    <t>OS環境設定</t>
    <rPh sb="2" eb="4">
      <t>カンキョウ</t>
    </rPh>
    <rPh sb="4" eb="6">
      <t>セッテイ</t>
    </rPh>
    <phoneticPr fontId="4"/>
  </si>
  <si>
    <t>OSの環境設定の手順</t>
    <rPh sb="3" eb="5">
      <t>カンキョウ</t>
    </rPh>
    <phoneticPr fontId="4"/>
  </si>
  <si>
    <t>EDR</t>
    <phoneticPr fontId="4"/>
  </si>
  <si>
    <t>TaniumClient</t>
    <phoneticPr fontId="4"/>
  </si>
  <si>
    <t>Perl</t>
    <phoneticPr fontId="4"/>
  </si>
  <si>
    <t>vsftpd</t>
    <phoneticPr fontId="4"/>
  </si>
  <si>
    <t>AWSCLI2</t>
    <phoneticPr fontId="4"/>
  </si>
  <si>
    <t>HULFT</t>
    <phoneticPr fontId="4"/>
  </si>
  <si>
    <t>EDRの導入手順</t>
  </si>
  <si>
    <t>ASTERIA Warp 2406の導入手順（本書の対象に含めるか要確認）</t>
  </si>
  <si>
    <t>Tomcat 9.0.122の導入と全インスタンス共通の設定手順</t>
  </si>
  <si>
    <t>AWS CLI v2（AWS Command Line Interface バージョン2）の導入手順</t>
  </si>
  <si>
    <t>Perl（スクリプト言語）の導入手順</t>
  </si>
  <si>
    <t>vsftpd（FTPサーバ）の導入・設定手順</t>
  </si>
  <si>
    <t>Apache HTTP Server 2.4の導入・設定手順（mod_proxy_httpでTomcatと連携）</t>
    <phoneticPr fontId="4"/>
  </si>
  <si>
    <t>Tomcat</t>
    <phoneticPr fontId="4"/>
  </si>
  <si>
    <t>Tomcatインスタンス</t>
    <phoneticPr fontId="4"/>
  </si>
  <si>
    <t>媒体配置</t>
  </si>
  <si>
    <t>媒体の取得、チェックサム検証、サーバへの転送の手順</t>
  </si>
  <si>
    <t>パーティション作成、マウント、ディレクトリ（/disk1配下）作成の手順</t>
  </si>
  <si>
    <t>ユーザ・グループ</t>
  </si>
  <si>
    <t>OSユーザ・グループの作成手順</t>
    <phoneticPr fontId="4"/>
  </si>
  <si>
    <t>warファイル（6本）の配置と展開確認の手順</t>
  </si>
  <si>
    <t>ftp</t>
  </si>
  <si>
    <t>ftp（FTPクライアント）の導入手順</t>
  </si>
  <si>
    <t>区分</t>
    <rPh sb="0" eb="2">
      <t>クブン</t>
    </rPh>
    <phoneticPr fontId="4"/>
  </si>
  <si>
    <t>ディスク構成</t>
    <phoneticPr fontId="4"/>
  </si>
  <si>
    <t>サーバ証明書</t>
    <rPh sb="3" eb="6">
      <t>ショウメイショ</t>
    </rPh>
    <phoneticPr fontId="4"/>
  </si>
  <si>
    <t>OpenSSL</t>
    <phoneticPr fontId="4"/>
  </si>
  <si>
    <t>×</t>
    <phoneticPr fontId="4"/>
  </si>
  <si>
    <t>〇</t>
    <phoneticPr fontId="4"/>
  </si>
  <si>
    <t>CSH</t>
    <phoneticPr fontId="4"/>
  </si>
  <si>
    <t>nfk</t>
    <phoneticPr fontId="4"/>
  </si>
  <si>
    <t>auto_start</t>
    <phoneticPr fontId="4"/>
  </si>
  <si>
    <t>JP1</t>
    <phoneticPr fontId="4"/>
  </si>
  <si>
    <t>PostFix</t>
    <phoneticPr fontId="4"/>
  </si>
  <si>
    <t>QA環境からインストールする。HULFT（ファイル転送ツール）の導入・設定手順</t>
    <rPh sb="2" eb="4">
      <t>カンキョウ</t>
    </rPh>
    <phoneticPr fontId="4"/>
  </si>
  <si>
    <t>説明</t>
    <rPh sb="0" eb="2">
      <t>セツメイ</t>
    </rPh>
    <phoneticPr fontId="4"/>
  </si>
  <si>
    <t>提供</t>
    <rPh sb="0" eb="2">
      <t>テイキョウ</t>
    </rPh>
    <phoneticPr fontId="4"/>
  </si>
  <si>
    <t>今回</t>
    <rPh sb="0" eb="2">
      <t>コンカイ</t>
    </rPh>
    <phoneticPr fontId="4"/>
  </si>
  <si>
    <t>OpenSSL（暗号化通信ライブラリ）のバージョン確認手順</t>
    <phoneticPr fontId="4"/>
  </si>
  <si>
    <t>アプリケーション配置</t>
    <phoneticPr fontId="4"/>
  </si>
  <si>
    <t>CSH（Cシェル。tcshパッケージ）の導入手順</t>
    <phoneticPr fontId="4"/>
  </si>
  <si>
    <t>nkf（文字コード変換ツール）の導入手順</t>
    <phoneticPr fontId="4"/>
  </si>
  <si>
    <t>各ツールで設定する。自動起動（systemd）の設定手順</t>
    <rPh sb="0" eb="1">
      <t>カク</t>
    </rPh>
    <rPh sb="5" eb="7">
      <t>セッテイ</t>
    </rPh>
    <phoneticPr fontId="4"/>
  </si>
  <si>
    <t>今回は、メールサーバなし。Postfix（メール転送ソフト）の導入・中継設定手順</t>
    <rPh sb="0" eb="2">
      <t>コンカイ</t>
    </rPh>
    <phoneticPr fontId="4"/>
  </si>
  <si>
    <t>Zabbix</t>
    <phoneticPr fontId="4"/>
  </si>
  <si>
    <t>DBクライアント</t>
    <phoneticPr fontId="4"/>
  </si>
  <si>
    <t>PostgreSQL/OracleのDBクライアントの導入手順</t>
    <phoneticPr fontId="4"/>
  </si>
  <si>
    <t>初期状態の保全と、初期状態への切り戻しの手順</t>
    <phoneticPr fontId="4"/>
  </si>
  <si>
    <t>Tanium Clientの導入手順</t>
    <phoneticPr fontId="4"/>
  </si>
  <si>
    <t>サーバ証明書の入れ替え手順、</t>
    <phoneticPr fontId="4"/>
  </si>
  <si>
    <t>Tivoli/Zabbix監視ツールの導入</t>
    <phoneticPr fontId="4"/>
  </si>
  <si>
    <t>JP1運用管理ツールの導入</t>
    <phoneticPr fontId="4"/>
  </si>
  <si>
    <t>サーバ証明書の入れ替え手順、</t>
  </si>
  <si>
    <t>OSユーザ・グループの作成手順</t>
  </si>
  <si>
    <t>Apache HTTP Server 2.4の導入・設定手順（mod_proxy_httpでTomcatと連携）</t>
  </si>
  <si>
    <t>OpenSSL（暗号化通信ライブラリ）のバージョン確認手順</t>
  </si>
  <si>
    <t>PostgreSQL/OracleのDBクライアントの導入手順</t>
  </si>
  <si>
    <t>CSH（Cシェル。tcshパッケージ）の導入手順</t>
  </si>
  <si>
    <t>nkf（文字コード変換ツール）の導入手順</t>
  </si>
  <si>
    <t>Tivoli/Zabbix監視ツールの導入</t>
  </si>
  <si>
    <t>JP1運用管理ツールの導入</t>
  </si>
  <si>
    <t>FTPクライアントの導入手順</t>
    <phoneticPr fontId="4"/>
  </si>
  <si>
    <t>Tanium</t>
    <phoneticPr fontId="4"/>
  </si>
  <si>
    <t>Taniumクライアントの導入手順</t>
    <phoneticPr fontId="4"/>
  </si>
  <si>
    <t>Asteria</t>
    <phoneticPr fontId="4"/>
  </si>
  <si>
    <t>構築項目</t>
  </si>
  <si>
    <t>プロジェクト名</t>
  </si>
  <si>
    <t>処理用DB老朽化対応（セキュリティ強化）</t>
  </si>
  <si>
    <t>手順書番号</t>
  </si>
  <si>
    <t>AP-17</t>
  </si>
  <si>
    <t>対象サーバ（ホスト名）</t>
  </si>
  <si>
    <t>apsv01</t>
  </si>
  <si>
    <t>対象製品・版</t>
  </si>
  <si>
    <t>ASTERIA Warp 2406（Linux版 フローサービス）</t>
  </si>
  <si>
    <t>版数</t>
  </si>
  <si>
    <t>0.1</t>
  </si>
  <si>
    <t>対象OS</t>
  </si>
  <si>
    <t>Red Hat Enterprise Linux 8.10</t>
    <phoneticPr fontId="4"/>
  </si>
  <si>
    <t>対象環境</t>
  </si>
  <si>
    <t>検証環境</t>
  </si>
  <si>
    <t>作成者／作成日</t>
  </si>
  <si>
    <t>担当A ／ 2026/10/05</t>
  </si>
  <si>
    <t>作業予定日</t>
  </si>
  <si>
    <t>2026/10/20</t>
  </si>
  <si>
    <t>参照資料</t>
  </si>
  <si>
    <t>①ASTERIA Warp インストールガイド（2406版、アステリア株式会社、2025年4月4日付）
　https://help.asteria.com/documentation/warp/ja/2406/InstallGuide.pdf
②基本設計書・パラメータシート（APサーバ）</t>
  </si>
  <si>
    <t>承認者／承認日</t>
  </si>
  <si>
    <t>（承認後に記入）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</si>
</sst>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6"/>
      <name val="Yu Gothic"/>
      <family val="3"/>
      <charset val="128"/>
      <scheme val="minor"/>
    </font>
    <font>
      <sz val="12"/>
      <color theme="1"/>
      <name val="Meiryo UI"/>
      <family val="3"/>
      <charset val="128"/>
    </font>
    <font>
      <b/>
      <sz val="11"/>
      <color theme="4" tint="-0.249977111117893"/>
      <name val="Meiryo UI"/>
      <family val="3"/>
      <charset val="128"/>
    </font>
    <font>
      <b/>
      <sz val="36"/>
      <color theme="1"/>
      <name val="Meiryo UI"/>
      <family val="3"/>
      <charset val="128"/>
    </font>
    <font>
      <sz val="6"/>
      <name val="Yu Gothic"/>
      <family val="2"/>
      <charset val="128"/>
      <scheme val="minor"/>
    </font>
    <font>
      <sz val="10"/>
      <name val="ＭＳ ゴシック"/>
      <family val="3"/>
      <charset val="128"/>
    </font>
    <font>
      <b/>
      <sz val="14"/>
      <color rgb="FF000000"/>
      <name val="BIZ UDゴシック"/>
      <family val="2"/>
      <charset val="128"/>
    </font>
    <font>
      <sz val="10"/>
      <name val="BIZ UDゴシック"/>
      <family val="2"/>
    </font>
    <font>
      <u/>
      <sz val="10"/>
      <color rgb="FF0563C1"/>
      <name val="BIZ UDゴシック"/>
      <family val="2"/>
    </font>
    <font>
      <b/>
      <sz val="10"/>
      <color rgb="FF000000"/>
      <name val="BIZ UDゴシック"/>
      <family val="2"/>
    </font>
    <font>
      <sz val="10"/>
      <color rgb="FF000000"/>
      <name val="BIZ UDゴシック"/>
      <family val="2"/>
    </font>
    <font>
      <b/>
      <sz val="10"/>
      <color rgb="FFFFFFFF"/>
      <name val="BIZ UDゴシック"/>
      <family val="2"/>
    </font>
    <font>
      <sz val="10"/>
      <color theme="1"/>
      <name val="BIZ UDゴシック"/>
      <family val="2"/>
    </font>
    <font>
      <b/>
      <sz val="14"/>
      <color rgb="FF000000"/>
      <name val="BIZ UDゴシック"/>
      <family val="2"/>
    </font>
    <font>
      <sz val="14"/>
      <name val="BIZ UDゴシック"/>
      <family val="2"/>
    </font>
    <font>
      <sz val="14"/>
      <name val="BIZ UDゴシック"/>
      <family val="2"/>
      <charset val="128"/>
    </font>
    <font>
      <u/>
      <sz val="10"/>
      <color rgb="FF0563C1"/>
      <name val="BIZ UDゴシック"/>
      <family val="2"/>
      <charset val="128"/>
    </font>
    <font>
      <b/>
      <sz val="10"/>
      <color rgb="FF000000"/>
      <name val="Meiryo UI"/>
      <family val="2"/>
      <charset val="128"/>
    </font>
    <font>
      <sz val="10"/>
      <color rgb="FF000000"/>
      <name val="Meiryo UI"/>
      <family val="2"/>
      <charset val="128"/>
    </font>
    <font>
      <sz val="10"/>
      <color theme="1"/>
      <name val="BIZ UDゴシック"/>
      <family val="2"/>
      <charset val="128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theme="0"/>
        <bgColor rgb="FFFFC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DEDED"/>
        <bgColor rgb="FFEDEDED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4">
    <xf numFmtId="0" fontId="0" fillId="0" borderId="0"/>
    <xf numFmtId="0" fontId="3" fillId="0" borderId="0"/>
    <xf numFmtId="0" fontId="1" fillId="0" borderId="0">
      <alignment vertical="center"/>
    </xf>
    <xf numFmtId="0" fontId="9" fillId="0" borderId="0"/>
  </cellStyleXfs>
  <cellXfs count="74">
    <xf numFmtId="0" fontId="0" fillId="0" borderId="0" xfId="0"/>
    <xf numFmtId="0" fontId="2" fillId="2" borderId="1" xfId="2" applyFont="1" applyFill="1" applyBorder="1">
      <alignment vertical="center"/>
    </xf>
    <xf numFmtId="0" fontId="2" fillId="2" borderId="2" xfId="2" applyFont="1" applyFill="1" applyBorder="1">
      <alignment vertical="center"/>
    </xf>
    <xf numFmtId="0" fontId="2" fillId="2" borderId="3" xfId="2" applyFont="1" applyFill="1" applyBorder="1">
      <alignment vertical="center"/>
    </xf>
    <xf numFmtId="0" fontId="2" fillId="2" borderId="0" xfId="2" applyFont="1" applyFill="1">
      <alignment vertical="center"/>
    </xf>
    <xf numFmtId="0" fontId="2" fillId="2" borderId="4" xfId="2" applyFont="1" applyFill="1" applyBorder="1">
      <alignment vertical="center"/>
    </xf>
    <xf numFmtId="0" fontId="2" fillId="2" borderId="5" xfId="2" applyFont="1" applyFill="1" applyBorder="1">
      <alignment vertical="center"/>
    </xf>
    <xf numFmtId="0" fontId="5" fillId="2" borderId="0" xfId="2" applyFont="1" applyFill="1" applyAlignment="1">
      <alignment horizontal="right" vertical="center"/>
    </xf>
    <xf numFmtId="0" fontId="6" fillId="2" borderId="0" xfId="2" applyFont="1" applyFill="1">
      <alignment vertical="center"/>
    </xf>
    <xf numFmtId="0" fontId="2" fillId="2" borderId="6" xfId="2" applyFont="1" applyFill="1" applyBorder="1">
      <alignment vertical="center"/>
    </xf>
    <xf numFmtId="0" fontId="2" fillId="2" borderId="7" xfId="2" applyFont="1" applyFill="1" applyBorder="1">
      <alignment vertical="center"/>
    </xf>
    <xf numFmtId="0" fontId="2" fillId="2" borderId="8" xfId="2" applyFont="1" applyFill="1" applyBorder="1">
      <alignment vertical="center"/>
    </xf>
    <xf numFmtId="0" fontId="11" fillId="0" borderId="0" xfId="3" applyFont="1"/>
    <xf numFmtId="0" fontId="12" fillId="0" borderId="0" xfId="3" applyFont="1" applyAlignment="1">
      <alignment horizontal="right" vertical="center"/>
    </xf>
    <xf numFmtId="0" fontId="14" fillId="0" borderId="9" xfId="3" applyFont="1" applyBorder="1" applyAlignment="1">
      <alignment horizontal="left" vertical="center" wrapText="1"/>
    </xf>
    <xf numFmtId="0" fontId="15" fillId="3" borderId="9" xfId="3" applyFont="1" applyFill="1" applyBorder="1" applyAlignment="1">
      <alignment horizontal="center" vertical="center" wrapText="1"/>
    </xf>
    <xf numFmtId="0" fontId="14" fillId="0" borderId="9" xfId="3" applyFont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2" borderId="9" xfId="3" applyFont="1" applyFill="1" applyBorder="1" applyAlignment="1">
      <alignment vertical="center" wrapText="1"/>
    </xf>
    <xf numFmtId="0" fontId="14" fillId="5" borderId="9" xfId="3" applyFont="1" applyFill="1" applyBorder="1" applyAlignment="1">
      <alignment vertical="center" wrapText="1"/>
    </xf>
    <xf numFmtId="0" fontId="16" fillId="0" borderId="0" xfId="0" applyFont="1"/>
    <xf numFmtId="0" fontId="18" fillId="0" borderId="0" xfId="3" applyFont="1" applyAlignment="1">
      <alignment horizontal="left"/>
    </xf>
    <xf numFmtId="0" fontId="19" fillId="0" borderId="0" xfId="3" applyFont="1" applyAlignment="1">
      <alignment horizontal="left"/>
    </xf>
    <xf numFmtId="0" fontId="20" fillId="0" borderId="0" xfId="3" applyFont="1" applyAlignment="1">
      <alignment horizontal="right" vertical="center"/>
    </xf>
    <xf numFmtId="0" fontId="10" fillId="0" borderId="0" xfId="3" applyFont="1" applyAlignment="1">
      <alignment vertical="center"/>
    </xf>
    <xf numFmtId="0" fontId="20" fillId="0" borderId="0" xfId="0" applyFont="1" applyAlignment="1">
      <alignment horizontal="right" vertical="center"/>
    </xf>
    <xf numFmtId="176" fontId="14" fillId="0" borderId="9" xfId="3" applyNumberFormat="1" applyFont="1" applyBorder="1" applyAlignment="1">
      <alignment horizontal="center" vertical="center" wrapText="1"/>
    </xf>
    <xf numFmtId="0" fontId="10" fillId="0" borderId="0" xfId="3" applyFont="1" applyAlignment="1">
      <alignment vertical="center" wrapText="1"/>
    </xf>
    <xf numFmtId="0" fontId="11" fillId="0" borderId="10" xfId="3" applyFont="1" applyBorder="1"/>
    <xf numFmtId="0" fontId="17" fillId="0" borderId="0" xfId="3" applyFont="1" applyAlignment="1">
      <alignment vertical="center"/>
    </xf>
    <xf numFmtId="0" fontId="11" fillId="0" borderId="9" xfId="3" applyFont="1" applyBorder="1" applyAlignment="1">
      <alignment horizontal="center" vertical="top" wrapText="1"/>
    </xf>
    <xf numFmtId="0" fontId="14" fillId="0" borderId="9" xfId="3" applyFont="1" applyBorder="1" applyAlignment="1">
      <alignment vertical="top" wrapText="1"/>
    </xf>
    <xf numFmtId="0" fontId="14" fillId="6" borderId="9" xfId="3" applyFont="1" applyFill="1" applyBorder="1" applyAlignment="1">
      <alignment horizontal="left" vertical="center" wrapText="1"/>
    </xf>
    <xf numFmtId="0" fontId="14" fillId="7" borderId="9" xfId="3" applyFont="1" applyFill="1" applyBorder="1" applyAlignment="1">
      <alignment horizontal="left" vertical="center" wrapText="1"/>
    </xf>
    <xf numFmtId="0" fontId="14" fillId="2" borderId="9" xfId="3" applyFont="1" applyFill="1" applyBorder="1" applyAlignment="1">
      <alignment horizontal="left" vertical="center" wrapText="1"/>
    </xf>
    <xf numFmtId="0" fontId="14" fillId="8" borderId="9" xfId="3" applyFont="1" applyFill="1" applyBorder="1" applyAlignment="1">
      <alignment horizontal="center" vertical="center" wrapText="1"/>
    </xf>
    <xf numFmtId="0" fontId="14" fillId="8" borderId="9" xfId="3" applyFont="1" applyFill="1" applyBorder="1" applyAlignment="1">
      <alignment horizontal="left" vertical="center" wrapText="1"/>
    </xf>
    <xf numFmtId="0" fontId="14" fillId="2" borderId="9" xfId="3" applyFont="1" applyFill="1" applyBorder="1" applyAlignment="1">
      <alignment horizontal="center" vertical="center" wrapText="1"/>
    </xf>
    <xf numFmtId="0" fontId="21" fillId="9" borderId="9" xfId="0" applyFont="1" applyFill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0" fontId="14" fillId="0" borderId="9" xfId="3" applyFont="1" applyBorder="1" applyAlignment="1">
      <alignment horizontal="left" vertical="center" wrapText="1"/>
    </xf>
    <xf numFmtId="0" fontId="11" fillId="0" borderId="11" xfId="3" applyFont="1" applyBorder="1"/>
    <xf numFmtId="0" fontId="11" fillId="0" borderId="12" xfId="3" applyFont="1" applyBorder="1"/>
    <xf numFmtId="0" fontId="15" fillId="3" borderId="13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3" fillId="4" borderId="9" xfId="3" applyFont="1" applyFill="1" applyBorder="1" applyAlignment="1">
      <alignment horizontal="left" vertical="center" wrapText="1"/>
    </xf>
    <xf numFmtId="0" fontId="13" fillId="4" borderId="9" xfId="0" applyFont="1" applyFill="1" applyBorder="1" applyAlignment="1">
      <alignment horizontal="left" vertical="center" wrapText="1"/>
    </xf>
    <xf numFmtId="0" fontId="16" fillId="0" borderId="11" xfId="0" applyFont="1" applyBorder="1"/>
    <xf numFmtId="0" fontId="16" fillId="0" borderId="12" xfId="0" applyFont="1" applyBorder="1"/>
    <xf numFmtId="0" fontId="15" fillId="3" borderId="9" xfId="3" applyFont="1" applyFill="1" applyBorder="1" applyAlignment="1">
      <alignment horizontal="center" vertical="center" wrapText="1"/>
    </xf>
    <xf numFmtId="0" fontId="11" fillId="2" borderId="13" xfId="3" applyFont="1" applyFill="1" applyBorder="1" applyAlignment="1">
      <alignment horizontal="left" vertical="center" wrapText="1"/>
    </xf>
    <xf numFmtId="0" fontId="11" fillId="2" borderId="11" xfId="3" applyFont="1" applyFill="1" applyBorder="1" applyAlignment="1">
      <alignment horizontal="left" vertical="center" wrapText="1"/>
    </xf>
    <xf numFmtId="0" fontId="11" fillId="2" borderId="12" xfId="3" applyFont="1" applyFill="1" applyBorder="1" applyAlignment="1">
      <alignment horizontal="left" vertical="center" wrapText="1"/>
    </xf>
    <xf numFmtId="0" fontId="15" fillId="3" borderId="13" xfId="3" applyFont="1" applyFill="1" applyBorder="1" applyAlignment="1">
      <alignment horizontal="center" vertical="center" wrapText="1"/>
    </xf>
    <xf numFmtId="0" fontId="15" fillId="3" borderId="11" xfId="3" applyFont="1" applyFill="1" applyBorder="1" applyAlignment="1">
      <alignment horizontal="center" vertical="center" wrapText="1"/>
    </xf>
    <xf numFmtId="0" fontId="15" fillId="3" borderId="12" xfId="3" applyFont="1" applyFill="1" applyBorder="1" applyAlignment="1">
      <alignment horizontal="center" vertical="center" wrapText="1"/>
    </xf>
    <xf numFmtId="0" fontId="14" fillId="0" borderId="13" xfId="3" applyFont="1" applyBorder="1" applyAlignment="1">
      <alignment horizontal="left" vertical="center" wrapText="1"/>
    </xf>
    <xf numFmtId="0" fontId="14" fillId="0" borderId="11" xfId="3" applyFont="1" applyBorder="1" applyAlignment="1">
      <alignment horizontal="left" vertical="center" wrapText="1"/>
    </xf>
    <xf numFmtId="0" fontId="14" fillId="0" borderId="12" xfId="3" applyFont="1" applyBorder="1" applyAlignment="1">
      <alignment horizontal="left" vertical="center" wrapText="1"/>
    </xf>
    <xf numFmtId="0" fontId="12" fillId="0" borderId="0" xfId="3" applyFont="1" applyAlignment="1">
      <alignment horizontal="right" vertical="center"/>
    </xf>
    <xf numFmtId="0" fontId="11" fillId="0" borderId="0" xfId="3" applyFont="1"/>
    <xf numFmtId="0" fontId="14" fillId="0" borderId="13" xfId="3" applyFont="1" applyBorder="1" applyAlignment="1">
      <alignment horizontal="left" vertical="top" wrapText="1"/>
    </xf>
    <xf numFmtId="0" fontId="14" fillId="0" borderId="12" xfId="3" applyFont="1" applyBorder="1" applyAlignment="1">
      <alignment horizontal="left" vertical="top" wrapText="1"/>
    </xf>
    <xf numFmtId="0" fontId="14" fillId="0" borderId="11" xfId="3" applyFont="1" applyBorder="1" applyAlignment="1">
      <alignment horizontal="left" vertical="top" wrapText="1"/>
    </xf>
    <xf numFmtId="0" fontId="21" fillId="9" borderId="9" xfId="0" applyFont="1" applyFill="1" applyBorder="1" applyAlignment="1">
      <alignment horizontal="left" vertical="center" wrapText="1"/>
    </xf>
    <xf numFmtId="0" fontId="0" fillId="0" borderId="12" xfId="0" applyBorder="1"/>
    <xf numFmtId="0" fontId="22" fillId="0" borderId="9" xfId="0" applyFont="1" applyBorder="1" applyAlignment="1">
      <alignment horizontal="left" vertical="center" wrapText="1"/>
    </xf>
    <xf numFmtId="0" fontId="0" fillId="0" borderId="11" xfId="0" applyBorder="1"/>
    <xf numFmtId="0" fontId="23" fillId="0" borderId="0" xfId="0" applyFont="1"/>
  </cellXfs>
  <cellStyles count="4">
    <cellStyle name="標準" xfId="0" builtinId="0"/>
    <cellStyle name="標準 2" xfId="2" xr:uid="{DB7E1818-500A-4772-A706-0520F40DD058}"/>
    <cellStyle name="標準 3" xfId="3" xr:uid="{84C56BDD-87C1-4D15-9777-1A8AED4B10E4}"/>
    <cellStyle name="標準 9" xfId="1" xr:uid="{8FC4856F-CAFD-4304-847E-BA0F6B8C3EF7}"/>
  </cellStyles>
  <dxfs count="13"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</dxf>
    <dxf>
      <font>
        <color rgb="FF595959"/>
      </font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A3700-B535-40BB-9A2B-E50472739241}">
  <dimension ref="B2:S26"/>
  <sheetViews>
    <sheetView view="pageBreakPreview" zoomScale="70" zoomScaleNormal="85" zoomScaleSheetLayoutView="70" workbookViewId="0">
      <selection activeCell="P22" sqref="P22"/>
    </sheetView>
  </sheetViews>
  <sheetFormatPr defaultColWidth="9" defaultRowHeight="15"/>
  <cols>
    <col min="1" max="1" width="2.58203125" style="4" customWidth="1"/>
    <col min="2" max="19" width="9" style="4"/>
    <col min="20" max="20" width="2.58203125" style="4" customWidth="1"/>
    <col min="21" max="16384" width="9" style="4"/>
  </cols>
  <sheetData>
    <row r="2" spans="2:19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</row>
    <row r="3" spans="2:19">
      <c r="B3" s="5"/>
      <c r="S3" s="6"/>
    </row>
    <row r="4" spans="2:19">
      <c r="B4" s="5"/>
      <c r="S4" s="6"/>
    </row>
    <row r="5" spans="2:19">
      <c r="B5" s="5"/>
      <c r="S5" s="6"/>
    </row>
    <row r="6" spans="2:19">
      <c r="B6" s="5"/>
      <c r="S6" s="6"/>
    </row>
    <row r="7" spans="2:19" ht="16">
      <c r="B7" s="5"/>
      <c r="G7" s="7"/>
      <c r="S7" s="6"/>
    </row>
    <row r="8" spans="2:19" ht="16">
      <c r="B8" s="5"/>
      <c r="G8" s="7"/>
      <c r="H8" s="8"/>
      <c r="S8" s="6"/>
    </row>
    <row r="9" spans="2:19" ht="16">
      <c r="B9" s="5"/>
      <c r="G9" s="7"/>
      <c r="H9" s="8"/>
      <c r="S9" s="6"/>
    </row>
    <row r="10" spans="2:19" ht="48">
      <c r="B10" s="5"/>
      <c r="C10" s="42" t="s">
        <v>4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6"/>
    </row>
    <row r="11" spans="2:19" ht="48">
      <c r="B11" s="5"/>
      <c r="C11" s="42" t="s">
        <v>5</v>
      </c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6"/>
    </row>
    <row r="12" spans="2:19">
      <c r="B12" s="5"/>
      <c r="S12" s="6"/>
    </row>
    <row r="13" spans="2:19">
      <c r="B13" s="5"/>
      <c r="S13" s="6"/>
    </row>
    <row r="14" spans="2:19">
      <c r="B14" s="5"/>
      <c r="H14" s="8"/>
      <c r="S14" s="6"/>
    </row>
    <row r="15" spans="2:19">
      <c r="B15" s="5"/>
      <c r="H15" s="8"/>
      <c r="S15" s="6"/>
    </row>
    <row r="16" spans="2:19">
      <c r="B16" s="5"/>
      <c r="I16" s="8"/>
      <c r="S16" s="6"/>
    </row>
    <row r="17" spans="2:19">
      <c r="B17" s="5"/>
      <c r="S17" s="6"/>
    </row>
    <row r="18" spans="2:19">
      <c r="B18" s="5"/>
      <c r="S18" s="6"/>
    </row>
    <row r="19" spans="2:19">
      <c r="B19" s="5"/>
      <c r="S19" s="6"/>
    </row>
    <row r="20" spans="2:19">
      <c r="B20" s="5"/>
      <c r="O20" s="4" t="s">
        <v>6</v>
      </c>
      <c r="S20" s="6"/>
    </row>
    <row r="21" spans="2:19">
      <c r="B21" s="5"/>
      <c r="O21" s="4" t="s">
        <v>7</v>
      </c>
      <c r="S21" s="6"/>
    </row>
    <row r="22" spans="2:19">
      <c r="B22" s="5"/>
      <c r="O22" s="4" t="s">
        <v>8</v>
      </c>
      <c r="S22" s="6"/>
    </row>
    <row r="23" spans="2:19">
      <c r="B23" s="5"/>
      <c r="S23" s="6"/>
    </row>
    <row r="24" spans="2:19">
      <c r="B24" s="5"/>
      <c r="O24" s="4" t="s">
        <v>2</v>
      </c>
      <c r="S24" s="6"/>
    </row>
    <row r="25" spans="2:19">
      <c r="B25" s="5"/>
      <c r="O25" s="4" t="s">
        <v>3</v>
      </c>
      <c r="S25" s="6"/>
    </row>
    <row r="26" spans="2:19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1"/>
    </row>
  </sheetData>
  <mergeCells count="2">
    <mergeCell ref="C10:R10"/>
    <mergeCell ref="C11:R11"/>
  </mergeCells>
  <phoneticPr fontId="4"/>
  <pageMargins left="0.7" right="0.7" top="0.75" bottom="0.75" header="0.3" footer="0.3"/>
  <pageSetup paperSize="9"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D205B-B820-4391-AC6C-DEED946FA784}">
  <sheetPr>
    <pageSetUpPr fitToPage="1"/>
  </sheetPr>
  <dimension ref="A1:F15"/>
  <sheetViews>
    <sheetView showGridLines="0" workbookViewId="0">
      <selection activeCell="F15" sqref="F15"/>
    </sheetView>
  </sheetViews>
  <sheetFormatPr defaultColWidth="8.58203125" defaultRowHeight="11.5"/>
  <cols>
    <col min="1" max="1" width="10.58203125" style="12" customWidth="1"/>
    <col min="2" max="2" width="60.58203125" style="12" customWidth="1"/>
    <col min="3" max="6" width="15.58203125" style="12" customWidth="1"/>
    <col min="7" max="16384" width="8.58203125" style="12"/>
  </cols>
  <sheetData>
    <row r="1" spans="1:6" ht="24" customHeight="1">
      <c r="A1" s="26" t="str" cm="1">
        <f t="array" aca="1" ref="A1" ca="1">CONCATENATE("■",MID(CELL("filename",A1),FIND("]",CELL("filename",A1))+1,31))</f>
        <v>■変更履歴</v>
      </c>
      <c r="B1" s="29"/>
      <c r="C1" s="29"/>
      <c r="D1" s="29"/>
      <c r="E1" s="29"/>
      <c r="F1" s="27" t="s">
        <v>34</v>
      </c>
    </row>
    <row r="2" spans="1:6" ht="12" customHeight="1">
      <c r="A2" s="30"/>
      <c r="B2" s="30"/>
      <c r="C2" s="30"/>
      <c r="D2" s="30"/>
      <c r="E2" s="30"/>
    </row>
    <row r="3" spans="1:6" ht="22" customHeight="1">
      <c r="A3" s="15" t="s">
        <v>0</v>
      </c>
      <c r="B3" s="15" t="s">
        <v>1</v>
      </c>
      <c r="C3" s="15" t="s">
        <v>10</v>
      </c>
      <c r="D3" s="15" t="s">
        <v>11</v>
      </c>
      <c r="E3" s="15" t="s">
        <v>12</v>
      </c>
      <c r="F3" s="15" t="s">
        <v>13</v>
      </c>
    </row>
    <row r="4" spans="1:6" ht="22" customHeight="1">
      <c r="A4" s="16" t="s">
        <v>15</v>
      </c>
      <c r="B4" s="14" t="s">
        <v>14</v>
      </c>
      <c r="C4" s="16" t="s">
        <v>16</v>
      </c>
      <c r="D4" s="28">
        <v>46311</v>
      </c>
      <c r="E4" s="16"/>
      <c r="F4" s="28"/>
    </row>
    <row r="5" spans="1:6" ht="22" customHeight="1">
      <c r="A5" s="16"/>
      <c r="B5" s="14"/>
      <c r="C5" s="16"/>
      <c r="D5" s="28"/>
      <c r="E5" s="16"/>
      <c r="F5" s="28"/>
    </row>
    <row r="6" spans="1:6" ht="22" customHeight="1">
      <c r="A6" s="16"/>
      <c r="B6" s="14"/>
      <c r="C6" s="16"/>
      <c r="D6" s="28"/>
      <c r="E6" s="16"/>
      <c r="F6" s="28"/>
    </row>
    <row r="7" spans="1:6" ht="22" customHeight="1">
      <c r="A7" s="16"/>
      <c r="B7" s="14"/>
      <c r="C7" s="16"/>
      <c r="D7" s="28"/>
      <c r="E7" s="16"/>
      <c r="F7" s="28"/>
    </row>
    <row r="8" spans="1:6" ht="22" customHeight="1">
      <c r="A8" s="16"/>
      <c r="B8" s="14"/>
      <c r="C8" s="16"/>
      <c r="D8" s="28"/>
      <c r="E8" s="16"/>
      <c r="F8" s="28"/>
    </row>
    <row r="9" spans="1:6" ht="22" customHeight="1">
      <c r="A9" s="16"/>
      <c r="B9" s="14"/>
      <c r="C9" s="16"/>
      <c r="D9" s="28"/>
      <c r="E9" s="16"/>
      <c r="F9" s="28"/>
    </row>
    <row r="10" spans="1:6" ht="22" customHeight="1">
      <c r="A10" s="16"/>
      <c r="B10" s="14"/>
      <c r="C10" s="16"/>
      <c r="D10" s="28"/>
      <c r="E10" s="16"/>
      <c r="F10" s="28"/>
    </row>
    <row r="11" spans="1:6" ht="22" customHeight="1">
      <c r="A11" s="16"/>
      <c r="B11" s="14"/>
      <c r="C11" s="16"/>
      <c r="D11" s="28"/>
      <c r="E11" s="16"/>
      <c r="F11" s="28"/>
    </row>
    <row r="12" spans="1:6" ht="22" customHeight="1">
      <c r="A12" s="16"/>
      <c r="B12" s="14"/>
      <c r="C12" s="16"/>
      <c r="D12" s="28"/>
      <c r="E12" s="16"/>
      <c r="F12" s="28"/>
    </row>
    <row r="13" spans="1:6" ht="22" customHeight="1">
      <c r="A13" s="16"/>
      <c r="B13" s="14"/>
      <c r="C13" s="16"/>
      <c r="D13" s="28"/>
      <c r="E13" s="16"/>
      <c r="F13" s="28"/>
    </row>
    <row r="14" spans="1:6" ht="22" customHeight="1">
      <c r="A14" s="16"/>
      <c r="B14" s="14"/>
      <c r="C14" s="16"/>
      <c r="D14" s="28"/>
      <c r="E14" s="16"/>
      <c r="F14" s="28"/>
    </row>
    <row r="15" spans="1:6" ht="22" customHeight="1">
      <c r="A15" s="16"/>
      <c r="B15" s="14"/>
      <c r="C15" s="16"/>
      <c r="D15" s="28"/>
      <c r="E15" s="16"/>
      <c r="F15" s="28"/>
    </row>
  </sheetData>
  <phoneticPr fontId="4"/>
  <conditionalFormatting sqref="A1 A3:F15">
    <cfRule type="expression" dxfId="12" priority="3">
      <formula>LEFT(A1,4)="＜記入＞"</formula>
    </cfRule>
  </conditionalFormatting>
  <conditionalFormatting sqref="A2:H2">
    <cfRule type="expression" dxfId="11" priority="1">
      <formula>LEFT(A2,4)="＜記入＞"</formula>
    </cfRule>
  </conditionalFormatting>
  <conditionalFormatting sqref="F1">
    <cfRule type="expression" dxfId="10" priority="2">
      <formula>LEFT(F1,4)="＜記入＞"</formula>
    </cfRule>
  </conditionalFormatting>
  <hyperlinks>
    <hyperlink ref="F1" location="'目次'!A1" display="目次へ戻る" xr:uid="{DD92EF56-5BA6-4D67-99E3-6EEE9A6F32F4}"/>
  </hyperlinks>
  <printOptions horizontalCentered="1"/>
  <pageMargins left="0.4" right="0.4" top="0.6" bottom="0.6" header="0.3" footer="0.3"/>
  <pageSetup paperSize="9" scale="95" fitToHeight="0" orientation="landscape" r:id="rId1"/>
  <headerFooter>
    <oddFooter>&amp;L&amp;9 &amp;F&amp;C&amp;9 &amp;P / &amp;N&amp;R&amp;9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44AC4-008B-49BF-8451-8A5F7261A734}">
  <sheetPr>
    <pageSetUpPr fitToPage="1"/>
  </sheetPr>
  <dimension ref="A1:G30"/>
  <sheetViews>
    <sheetView showGridLines="0" zoomScale="85" zoomScaleNormal="85" workbookViewId="0">
      <selection activeCell="D8" sqref="D8"/>
    </sheetView>
  </sheetViews>
  <sheetFormatPr defaultColWidth="8.58203125" defaultRowHeight="11.5"/>
  <cols>
    <col min="1" max="1" width="5.58203125" style="12" customWidth="1"/>
    <col min="2" max="2" width="20.58203125" style="12" customWidth="1"/>
    <col min="3" max="3" width="20.08203125" style="12" customWidth="1"/>
    <col min="4" max="4" width="22.58203125" style="12" customWidth="1"/>
    <col min="5" max="5" width="70.58203125" style="12" customWidth="1"/>
    <col min="6" max="6" width="10.58203125" style="12" customWidth="1"/>
    <col min="7" max="7" width="30.58203125" style="12" customWidth="1"/>
    <col min="8" max="16384" width="8.58203125" style="12"/>
  </cols>
  <sheetData>
    <row r="1" spans="1:7" ht="24" customHeight="1">
      <c r="A1" s="31" t="s">
        <v>86</v>
      </c>
    </row>
    <row r="2" spans="1:7" ht="12" customHeight="1"/>
    <row r="3" spans="1:7" ht="22" customHeight="1">
      <c r="A3" s="15" t="s">
        <v>117</v>
      </c>
      <c r="B3" s="15" t="s">
        <v>115</v>
      </c>
      <c r="C3" s="15" t="s">
        <v>191</v>
      </c>
      <c r="D3" s="15" t="s">
        <v>192</v>
      </c>
      <c r="E3" s="15" t="s">
        <v>190</v>
      </c>
      <c r="F3" s="15" t="s">
        <v>21</v>
      </c>
      <c r="G3" s="15" t="s">
        <v>22</v>
      </c>
    </row>
    <row r="4" spans="1:7" ht="36" customHeight="1">
      <c r="A4" s="16">
        <v>1</v>
      </c>
      <c r="B4" s="14" t="s">
        <v>29</v>
      </c>
      <c r="C4" s="35" t="s">
        <v>182</v>
      </c>
      <c r="D4" s="35" t="s">
        <v>183</v>
      </c>
      <c r="E4" s="14" t="s">
        <v>202</v>
      </c>
      <c r="F4" s="16" t="s">
        <v>24</v>
      </c>
      <c r="G4" s="14"/>
    </row>
    <row r="5" spans="1:7" ht="36" customHeight="1">
      <c r="A5" s="16">
        <f t="shared" ref="A5:A30" si="0">A4+1</f>
        <v>2</v>
      </c>
      <c r="B5" s="14" t="s">
        <v>170</v>
      </c>
      <c r="C5" s="35" t="s">
        <v>182</v>
      </c>
      <c r="D5" s="35" t="s">
        <v>183</v>
      </c>
      <c r="E5" s="14" t="s">
        <v>171</v>
      </c>
      <c r="F5" s="16" t="s">
        <v>24</v>
      </c>
      <c r="G5" s="14"/>
    </row>
    <row r="6" spans="1:7" ht="36" customHeight="1">
      <c r="A6" s="16">
        <f t="shared" si="0"/>
        <v>3</v>
      </c>
      <c r="B6" s="34" t="s">
        <v>153</v>
      </c>
      <c r="C6" s="14" t="s">
        <v>183</v>
      </c>
      <c r="D6" s="14" t="s">
        <v>183</v>
      </c>
      <c r="E6" s="14" t="s">
        <v>154</v>
      </c>
      <c r="F6" s="16" t="s">
        <v>24</v>
      </c>
      <c r="G6" s="14"/>
    </row>
    <row r="7" spans="1:7" ht="36" customHeight="1">
      <c r="A7" s="16">
        <f t="shared" si="0"/>
        <v>4</v>
      </c>
      <c r="B7" s="34" t="s">
        <v>179</v>
      </c>
      <c r="C7" s="14" t="s">
        <v>183</v>
      </c>
      <c r="D7" s="14" t="s">
        <v>183</v>
      </c>
      <c r="E7" s="14" t="s">
        <v>172</v>
      </c>
      <c r="F7" s="16" t="s">
        <v>24</v>
      </c>
      <c r="G7" s="14"/>
    </row>
    <row r="8" spans="1:7" ht="36" customHeight="1">
      <c r="A8" s="16">
        <f t="shared" si="0"/>
        <v>5</v>
      </c>
      <c r="B8" s="34" t="s">
        <v>180</v>
      </c>
      <c r="C8" s="35" t="s">
        <v>183</v>
      </c>
      <c r="D8" s="35" t="s">
        <v>182</v>
      </c>
      <c r="E8" s="14" t="s">
        <v>204</v>
      </c>
      <c r="F8" s="16" t="s">
        <v>24</v>
      </c>
      <c r="G8" s="14"/>
    </row>
    <row r="9" spans="1:7" ht="36" customHeight="1">
      <c r="A9" s="16">
        <f t="shared" si="0"/>
        <v>6</v>
      </c>
      <c r="B9" s="14" t="s">
        <v>173</v>
      </c>
      <c r="C9" s="35" t="s">
        <v>182</v>
      </c>
      <c r="D9" s="35" t="s">
        <v>183</v>
      </c>
      <c r="E9" s="14" t="s">
        <v>174</v>
      </c>
      <c r="F9" s="16" t="s">
        <v>24</v>
      </c>
      <c r="G9" s="14"/>
    </row>
    <row r="10" spans="1:7" ht="36" customHeight="1">
      <c r="A10" s="16">
        <f t="shared" si="0"/>
        <v>7</v>
      </c>
      <c r="B10" s="34" t="s">
        <v>156</v>
      </c>
      <c r="C10" s="14" t="s">
        <v>183</v>
      </c>
      <c r="D10" s="14" t="s">
        <v>183</v>
      </c>
      <c r="E10" s="14" t="s">
        <v>203</v>
      </c>
      <c r="F10" s="16" t="s">
        <v>24</v>
      </c>
      <c r="G10" s="14"/>
    </row>
    <row r="11" spans="1:7" ht="36" customHeight="1">
      <c r="A11" s="16">
        <f t="shared" si="0"/>
        <v>8</v>
      </c>
      <c r="B11" s="34" t="s">
        <v>155</v>
      </c>
      <c r="C11" s="14" t="s">
        <v>183</v>
      </c>
      <c r="D11" s="14" t="s">
        <v>183</v>
      </c>
      <c r="E11" s="14" t="s">
        <v>161</v>
      </c>
      <c r="F11" s="16" t="s">
        <v>24</v>
      </c>
      <c r="G11" s="14"/>
    </row>
    <row r="12" spans="1:7" ht="36" customHeight="1">
      <c r="A12" s="16">
        <f t="shared" si="0"/>
        <v>9</v>
      </c>
      <c r="B12" s="34" t="s">
        <v>107</v>
      </c>
      <c r="C12" s="14" t="s">
        <v>183</v>
      </c>
      <c r="D12" s="14" t="s">
        <v>183</v>
      </c>
      <c r="E12" s="14" t="s">
        <v>26</v>
      </c>
      <c r="F12" s="16" t="s">
        <v>24</v>
      </c>
      <c r="G12" s="14"/>
    </row>
    <row r="13" spans="1:7" ht="36" customHeight="1">
      <c r="A13" s="16">
        <f t="shared" si="0"/>
        <v>10</v>
      </c>
      <c r="B13" s="34" t="s">
        <v>108</v>
      </c>
      <c r="C13" s="14" t="s">
        <v>183</v>
      </c>
      <c r="D13" s="14" t="s">
        <v>183</v>
      </c>
      <c r="E13" s="14" t="s">
        <v>167</v>
      </c>
      <c r="F13" s="16" t="s">
        <v>24</v>
      </c>
      <c r="G13" s="14"/>
    </row>
    <row r="14" spans="1:7" ht="36" customHeight="1">
      <c r="A14" s="16">
        <f t="shared" si="0"/>
        <v>11</v>
      </c>
      <c r="B14" s="34" t="s">
        <v>181</v>
      </c>
      <c r="C14" s="35" t="s">
        <v>183</v>
      </c>
      <c r="D14" s="35" t="s">
        <v>182</v>
      </c>
      <c r="E14" s="14" t="s">
        <v>193</v>
      </c>
      <c r="F14" s="16" t="s">
        <v>24</v>
      </c>
      <c r="G14" s="14"/>
    </row>
    <row r="15" spans="1:7" ht="36" customHeight="1">
      <c r="A15" s="16">
        <f t="shared" si="0"/>
        <v>12</v>
      </c>
      <c r="B15" s="34" t="s">
        <v>168</v>
      </c>
      <c r="C15" s="14" t="s">
        <v>183</v>
      </c>
      <c r="D15" s="14" t="s">
        <v>183</v>
      </c>
      <c r="E15" s="14" t="s">
        <v>163</v>
      </c>
      <c r="F15" s="16" t="s">
        <v>24</v>
      </c>
      <c r="G15" s="14"/>
    </row>
    <row r="16" spans="1:7" ht="36" customHeight="1">
      <c r="A16" s="16">
        <f t="shared" si="0"/>
        <v>13</v>
      </c>
      <c r="B16" s="14" t="s">
        <v>169</v>
      </c>
      <c r="C16" s="35" t="s">
        <v>182</v>
      </c>
      <c r="D16" s="35" t="s">
        <v>183</v>
      </c>
      <c r="E16" s="14" t="s">
        <v>27</v>
      </c>
      <c r="F16" s="16" t="s">
        <v>24</v>
      </c>
      <c r="G16" s="14"/>
    </row>
    <row r="17" spans="1:7" ht="36" customHeight="1">
      <c r="A17" s="16">
        <f t="shared" si="0"/>
        <v>14</v>
      </c>
      <c r="B17" s="14" t="s">
        <v>194</v>
      </c>
      <c r="C17" s="35" t="s">
        <v>182</v>
      </c>
      <c r="D17" s="35" t="s">
        <v>183</v>
      </c>
      <c r="E17" s="14" t="s">
        <v>175</v>
      </c>
      <c r="F17" s="16" t="s">
        <v>24</v>
      </c>
      <c r="G17" s="14"/>
    </row>
    <row r="18" spans="1:7" ht="36" customHeight="1">
      <c r="A18" s="16">
        <f t="shared" si="0"/>
        <v>15</v>
      </c>
      <c r="B18" s="34" t="s">
        <v>158</v>
      </c>
      <c r="C18" s="14" t="s">
        <v>183</v>
      </c>
      <c r="D18" s="14" t="s">
        <v>183</v>
      </c>
      <c r="E18" s="14" t="s">
        <v>166</v>
      </c>
      <c r="F18" s="16" t="s">
        <v>24</v>
      </c>
      <c r="G18" s="14"/>
    </row>
    <row r="19" spans="1:7" ht="36" customHeight="1">
      <c r="A19" s="16">
        <f t="shared" si="0"/>
        <v>16</v>
      </c>
      <c r="B19" s="34" t="s">
        <v>157</v>
      </c>
      <c r="C19" s="14" t="s">
        <v>183</v>
      </c>
      <c r="D19" s="14" t="s">
        <v>183</v>
      </c>
      <c r="E19" s="14" t="s">
        <v>165</v>
      </c>
      <c r="F19" s="16" t="s">
        <v>24</v>
      </c>
      <c r="G19" s="14"/>
    </row>
    <row r="20" spans="1:7" ht="36" customHeight="1">
      <c r="A20" s="16">
        <f t="shared" si="0"/>
        <v>17</v>
      </c>
      <c r="B20" s="14" t="s">
        <v>109</v>
      </c>
      <c r="C20" s="35" t="s">
        <v>182</v>
      </c>
      <c r="D20" s="35" t="s">
        <v>183</v>
      </c>
      <c r="E20" s="14" t="s">
        <v>162</v>
      </c>
      <c r="F20" s="16" t="s">
        <v>24</v>
      </c>
      <c r="G20" s="14"/>
    </row>
    <row r="21" spans="1:7" ht="36" customHeight="1">
      <c r="A21" s="16">
        <f t="shared" si="0"/>
        <v>18</v>
      </c>
      <c r="B21" s="34" t="s">
        <v>200</v>
      </c>
      <c r="C21" s="35" t="s">
        <v>183</v>
      </c>
      <c r="D21" s="35" t="s">
        <v>182</v>
      </c>
      <c r="E21" s="14" t="s">
        <v>201</v>
      </c>
      <c r="F21" s="16" t="s">
        <v>24</v>
      </c>
      <c r="G21" s="14"/>
    </row>
    <row r="22" spans="1:7" ht="36" customHeight="1">
      <c r="A22" s="16">
        <f t="shared" si="0"/>
        <v>19</v>
      </c>
      <c r="B22" s="34" t="s">
        <v>184</v>
      </c>
      <c r="C22" s="35" t="s">
        <v>183</v>
      </c>
      <c r="D22" s="35" t="s">
        <v>182</v>
      </c>
      <c r="E22" s="14" t="s">
        <v>195</v>
      </c>
      <c r="F22" s="16" t="s">
        <v>24</v>
      </c>
      <c r="G22" s="14"/>
    </row>
    <row r="23" spans="1:7" ht="36" customHeight="1">
      <c r="A23" s="16">
        <f t="shared" si="0"/>
        <v>20</v>
      </c>
      <c r="B23" s="34" t="s">
        <v>185</v>
      </c>
      <c r="C23" s="35" t="s">
        <v>183</v>
      </c>
      <c r="D23" s="35" t="s">
        <v>182</v>
      </c>
      <c r="E23" s="14" t="s">
        <v>196</v>
      </c>
      <c r="F23" s="16" t="s">
        <v>24</v>
      </c>
      <c r="G23" s="14"/>
    </row>
    <row r="24" spans="1:7" ht="36" customHeight="1">
      <c r="A24" s="16">
        <f t="shared" si="0"/>
        <v>21</v>
      </c>
      <c r="B24" s="34" t="s">
        <v>159</v>
      </c>
      <c r="C24" s="14" t="s">
        <v>183</v>
      </c>
      <c r="D24" s="14" t="s">
        <v>183</v>
      </c>
      <c r="E24" s="14" t="s">
        <v>164</v>
      </c>
      <c r="F24" s="16" t="s">
        <v>24</v>
      </c>
      <c r="G24" s="14"/>
    </row>
    <row r="25" spans="1:7" ht="36" customHeight="1">
      <c r="A25" s="16">
        <f t="shared" si="0"/>
        <v>22</v>
      </c>
      <c r="B25" s="34" t="s">
        <v>176</v>
      </c>
      <c r="C25" s="14" t="s">
        <v>183</v>
      </c>
      <c r="D25" s="14" t="s">
        <v>183</v>
      </c>
      <c r="E25" s="14" t="s">
        <v>177</v>
      </c>
      <c r="F25" s="16" t="s">
        <v>24</v>
      </c>
      <c r="G25" s="14"/>
    </row>
    <row r="26" spans="1:7" ht="36" customHeight="1">
      <c r="A26" s="16">
        <f t="shared" si="0"/>
        <v>23</v>
      </c>
      <c r="B26" s="34" t="s">
        <v>186</v>
      </c>
      <c r="C26" s="14" t="s">
        <v>183</v>
      </c>
      <c r="D26" s="14" t="s">
        <v>183</v>
      </c>
      <c r="E26" s="14" t="s">
        <v>197</v>
      </c>
      <c r="F26" s="16" t="s">
        <v>24</v>
      </c>
      <c r="G26" s="14"/>
    </row>
    <row r="27" spans="1:7" ht="36" customHeight="1">
      <c r="A27" s="16">
        <f t="shared" si="0"/>
        <v>24</v>
      </c>
      <c r="B27" s="34" t="s">
        <v>188</v>
      </c>
      <c r="C27" s="35" t="s">
        <v>183</v>
      </c>
      <c r="D27" s="35" t="s">
        <v>182</v>
      </c>
      <c r="E27" s="14" t="s">
        <v>198</v>
      </c>
      <c r="F27" s="16" t="s">
        <v>24</v>
      </c>
      <c r="G27" s="14"/>
    </row>
    <row r="28" spans="1:7" ht="36" customHeight="1">
      <c r="A28" s="16">
        <f t="shared" si="0"/>
        <v>25</v>
      </c>
      <c r="B28" s="34" t="s">
        <v>199</v>
      </c>
      <c r="C28" s="35" t="s">
        <v>182</v>
      </c>
      <c r="D28" s="35" t="s">
        <v>183</v>
      </c>
      <c r="E28" s="14" t="s">
        <v>205</v>
      </c>
      <c r="F28" s="16" t="s">
        <v>24</v>
      </c>
      <c r="G28" s="14"/>
    </row>
    <row r="29" spans="1:7" ht="36" customHeight="1">
      <c r="A29" s="16">
        <f t="shared" si="0"/>
        <v>26</v>
      </c>
      <c r="B29" s="34" t="s">
        <v>187</v>
      </c>
      <c r="C29" s="35" t="s">
        <v>182</v>
      </c>
      <c r="D29" s="35" t="s">
        <v>183</v>
      </c>
      <c r="E29" s="14" t="s">
        <v>206</v>
      </c>
      <c r="F29" s="16" t="s">
        <v>24</v>
      </c>
      <c r="G29" s="14"/>
    </row>
    <row r="30" spans="1:7" ht="36" customHeight="1">
      <c r="A30" s="16">
        <f t="shared" si="0"/>
        <v>27</v>
      </c>
      <c r="B30" s="34" t="s">
        <v>160</v>
      </c>
      <c r="C30" s="35" t="s">
        <v>182</v>
      </c>
      <c r="D30" s="35" t="s">
        <v>183</v>
      </c>
      <c r="E30" s="14" t="s">
        <v>189</v>
      </c>
      <c r="F30" s="16" t="s">
        <v>24</v>
      </c>
      <c r="G30" s="14"/>
    </row>
  </sheetData>
  <phoneticPr fontId="4"/>
  <conditionalFormatting sqref="E1:G1 A1:D5 E2:J2 E3:G4 E5:E9 F5:G30 B6:D9 A6:A30 B10:E30">
    <cfRule type="expression" dxfId="9" priority="2">
      <formula>LEFT(A1,4)="＜記入＞"</formula>
    </cfRule>
  </conditionalFormatting>
  <dataValidations count="1">
    <dataValidation type="list" allowBlank="1" showInputMessage="1" showErrorMessage="1" errorTitle="入力エラー" error="プルダウンの選択肢から選んでください。" promptTitle="選択" prompt="実施状況を選択" sqref="F4:F38" xr:uid="{EB546D1B-5D7A-4A97-8B4D-48BFAB8281EE}">
      <formula1>"未着手,実施中,完了,対象外,－"</formula1>
    </dataValidation>
  </dataValidations>
  <printOptions horizontalCentered="1"/>
  <pageMargins left="0.4" right="0.4" top="0.6" bottom="0.6" header="0.3" footer="0.3"/>
  <pageSetup paperSize="9" scale="70" fitToHeight="0" orientation="landscape" r:id="rId1"/>
  <headerFooter>
    <oddFooter>&amp;L&amp;9 &amp;F&amp;C&amp;9 &amp;P / &amp;N&amp;R&amp;9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BBA3-5672-4702-A227-B35AF5503C41}">
  <sheetPr>
    <pageSetUpPr fitToPage="1"/>
  </sheetPr>
  <dimension ref="A1:E33"/>
  <sheetViews>
    <sheetView showGridLines="0" zoomScaleNormal="100" workbookViewId="0">
      <selection activeCell="B24" sqref="B24"/>
    </sheetView>
  </sheetViews>
  <sheetFormatPr defaultColWidth="8.58203125" defaultRowHeight="11.5"/>
  <cols>
    <col min="1" max="1" width="5.58203125" style="12" customWidth="1"/>
    <col min="2" max="2" width="20.58203125" style="12" customWidth="1"/>
    <col min="3" max="3" width="70.58203125" style="12" customWidth="1"/>
    <col min="4" max="4" width="10.58203125" style="12" customWidth="1"/>
    <col min="5" max="5" width="30.58203125" style="12" customWidth="1"/>
    <col min="6" max="16384" width="8.58203125" style="12"/>
  </cols>
  <sheetData>
    <row r="1" spans="1:5" ht="24" customHeight="1">
      <c r="A1" s="31" t="s">
        <v>86</v>
      </c>
    </row>
    <row r="2" spans="1:5" ht="12" customHeight="1"/>
    <row r="3" spans="1:5" ht="22" customHeight="1">
      <c r="A3" s="15" t="s">
        <v>117</v>
      </c>
      <c r="B3" s="15" t="s">
        <v>19</v>
      </c>
      <c r="C3" s="15" t="s">
        <v>20</v>
      </c>
      <c r="D3" s="15" t="s">
        <v>21</v>
      </c>
      <c r="E3" s="15" t="s">
        <v>22</v>
      </c>
    </row>
    <row r="4" spans="1:5" ht="23.15" customHeight="1">
      <c r="A4" s="16">
        <v>1</v>
      </c>
      <c r="B4" s="14" t="s">
        <v>23</v>
      </c>
      <c r="C4" s="14" t="s">
        <v>31</v>
      </c>
      <c r="D4" s="16" t="s">
        <v>24</v>
      </c>
      <c r="E4" s="14"/>
    </row>
    <row r="5" spans="1:5" ht="23.15" customHeight="1">
      <c r="A5" s="16">
        <f>A4+1</f>
        <v>2</v>
      </c>
      <c r="B5" s="14" t="s">
        <v>30</v>
      </c>
      <c r="C5" s="14" t="s">
        <v>32</v>
      </c>
      <c r="D5" s="16" t="s">
        <v>24</v>
      </c>
      <c r="E5" s="14"/>
    </row>
    <row r="6" spans="1:5" ht="23.15" customHeight="1">
      <c r="A6" s="16">
        <f t="shared" ref="A6:A33" si="0">A5+1</f>
        <v>3</v>
      </c>
      <c r="B6" s="14" t="s">
        <v>17</v>
      </c>
      <c r="C6" s="14" t="s">
        <v>33</v>
      </c>
      <c r="D6" s="16" t="s">
        <v>24</v>
      </c>
      <c r="E6" s="14"/>
    </row>
    <row r="7" spans="1:5" ht="23.15" customHeight="1">
      <c r="A7" s="16">
        <f t="shared" si="0"/>
        <v>4</v>
      </c>
      <c r="B7" s="14" t="s">
        <v>25</v>
      </c>
      <c r="C7" s="14" t="s">
        <v>150</v>
      </c>
      <c r="D7" s="16" t="s">
        <v>24</v>
      </c>
      <c r="E7" s="14"/>
    </row>
    <row r="8" spans="1:5" ht="23.15" customHeight="1">
      <c r="A8" s="16">
        <f t="shared" si="0"/>
        <v>5</v>
      </c>
      <c r="B8" s="38" t="s">
        <v>29</v>
      </c>
      <c r="C8" s="38" t="s">
        <v>28</v>
      </c>
      <c r="D8" s="37" t="s">
        <v>24</v>
      </c>
      <c r="E8" s="38"/>
    </row>
    <row r="9" spans="1:5" ht="23.15" customHeight="1">
      <c r="A9" s="16">
        <f t="shared" si="0"/>
        <v>6</v>
      </c>
      <c r="B9" s="14" t="s">
        <v>170</v>
      </c>
      <c r="C9" s="14" t="s">
        <v>171</v>
      </c>
      <c r="D9" s="16" t="s">
        <v>24</v>
      </c>
      <c r="E9" s="14"/>
    </row>
    <row r="10" spans="1:5" ht="23.15" customHeight="1">
      <c r="A10" s="16">
        <f t="shared" si="0"/>
        <v>7</v>
      </c>
      <c r="B10" s="36" t="s">
        <v>153</v>
      </c>
      <c r="C10" s="14" t="s">
        <v>154</v>
      </c>
      <c r="D10" s="16" t="s">
        <v>24</v>
      </c>
      <c r="E10" s="14"/>
    </row>
    <row r="11" spans="1:5" ht="23.15" customHeight="1">
      <c r="A11" s="16">
        <f t="shared" si="0"/>
        <v>8</v>
      </c>
      <c r="B11" s="36" t="s">
        <v>179</v>
      </c>
      <c r="C11" s="14" t="s">
        <v>172</v>
      </c>
      <c r="D11" s="16" t="s">
        <v>24</v>
      </c>
      <c r="E11" s="14"/>
    </row>
    <row r="12" spans="1:5" ht="23.15" customHeight="1">
      <c r="A12" s="16">
        <f t="shared" si="0"/>
        <v>9</v>
      </c>
      <c r="B12" s="38" t="s">
        <v>180</v>
      </c>
      <c r="C12" s="38" t="s">
        <v>207</v>
      </c>
      <c r="D12" s="37" t="s">
        <v>24</v>
      </c>
      <c r="E12" s="38"/>
    </row>
    <row r="13" spans="1:5" ht="23.15" customHeight="1">
      <c r="A13" s="16">
        <f t="shared" si="0"/>
        <v>10</v>
      </c>
      <c r="B13" s="14" t="s">
        <v>173</v>
      </c>
      <c r="C13" s="14" t="s">
        <v>208</v>
      </c>
      <c r="D13" s="16" t="s">
        <v>24</v>
      </c>
      <c r="E13" s="14"/>
    </row>
    <row r="14" spans="1:5" ht="23.15" customHeight="1">
      <c r="A14" s="16">
        <f t="shared" si="0"/>
        <v>11</v>
      </c>
      <c r="B14" s="36" t="s">
        <v>217</v>
      </c>
      <c r="C14" s="14" t="s">
        <v>218</v>
      </c>
      <c r="D14" s="16" t="s">
        <v>24</v>
      </c>
      <c r="E14" s="14"/>
    </row>
    <row r="15" spans="1:5" ht="23.15" customHeight="1">
      <c r="A15" s="16">
        <f t="shared" si="0"/>
        <v>12</v>
      </c>
      <c r="B15" s="36" t="s">
        <v>155</v>
      </c>
      <c r="C15" s="14" t="s">
        <v>161</v>
      </c>
      <c r="D15" s="16" t="s">
        <v>24</v>
      </c>
      <c r="E15" s="14"/>
    </row>
    <row r="16" spans="1:5" ht="23.15" customHeight="1">
      <c r="A16" s="16">
        <f t="shared" si="0"/>
        <v>13</v>
      </c>
      <c r="B16" s="36" t="s">
        <v>107</v>
      </c>
      <c r="C16" s="14" t="s">
        <v>26</v>
      </c>
      <c r="D16" s="16" t="s">
        <v>24</v>
      </c>
      <c r="E16" s="14"/>
    </row>
    <row r="17" spans="1:5" ht="23.15" customHeight="1">
      <c r="A17" s="16">
        <f t="shared" si="0"/>
        <v>14</v>
      </c>
      <c r="B17" s="36" t="s">
        <v>108</v>
      </c>
      <c r="C17" s="14" t="s">
        <v>209</v>
      </c>
      <c r="D17" s="16" t="s">
        <v>24</v>
      </c>
      <c r="E17" s="14"/>
    </row>
    <row r="18" spans="1:5" ht="23.15" customHeight="1">
      <c r="A18" s="16">
        <f t="shared" si="0"/>
        <v>15</v>
      </c>
      <c r="B18" s="38" t="s">
        <v>181</v>
      </c>
      <c r="C18" s="38" t="s">
        <v>210</v>
      </c>
      <c r="D18" s="37" t="s">
        <v>24</v>
      </c>
      <c r="E18" s="38"/>
    </row>
    <row r="19" spans="1:5" ht="23.15" customHeight="1">
      <c r="A19" s="16">
        <f t="shared" si="0"/>
        <v>16</v>
      </c>
      <c r="B19" s="36" t="s">
        <v>168</v>
      </c>
      <c r="C19" s="14" t="s">
        <v>163</v>
      </c>
      <c r="D19" s="16" t="s">
        <v>24</v>
      </c>
      <c r="E19" s="14"/>
    </row>
    <row r="20" spans="1:5" ht="23.15" customHeight="1">
      <c r="A20" s="16">
        <f t="shared" si="0"/>
        <v>17</v>
      </c>
      <c r="B20" s="36" t="s">
        <v>169</v>
      </c>
      <c r="C20" s="14" t="s">
        <v>27</v>
      </c>
      <c r="D20" s="16" t="s">
        <v>24</v>
      </c>
      <c r="E20" s="14"/>
    </row>
    <row r="21" spans="1:5" ht="23.15" customHeight="1">
      <c r="A21" s="16">
        <f t="shared" si="0"/>
        <v>18</v>
      </c>
      <c r="B21" s="36" t="s">
        <v>194</v>
      </c>
      <c r="C21" s="14" t="s">
        <v>175</v>
      </c>
      <c r="D21" s="16" t="s">
        <v>24</v>
      </c>
      <c r="E21" s="14"/>
    </row>
    <row r="22" spans="1:5" ht="23.15" customHeight="1">
      <c r="A22" s="16">
        <f t="shared" si="0"/>
        <v>19</v>
      </c>
      <c r="B22" s="36" t="s">
        <v>158</v>
      </c>
      <c r="C22" s="14" t="s">
        <v>166</v>
      </c>
      <c r="D22" s="16" t="s">
        <v>24</v>
      </c>
      <c r="E22" s="14"/>
    </row>
    <row r="23" spans="1:5" ht="23.15" customHeight="1">
      <c r="A23" s="16">
        <f t="shared" si="0"/>
        <v>20</v>
      </c>
      <c r="B23" s="36" t="s">
        <v>157</v>
      </c>
      <c r="C23" s="14" t="s">
        <v>165</v>
      </c>
      <c r="D23" s="16" t="s">
        <v>24</v>
      </c>
      <c r="E23" s="14"/>
    </row>
    <row r="24" spans="1:5" ht="23.15" customHeight="1">
      <c r="A24" s="16">
        <f t="shared" si="0"/>
        <v>21</v>
      </c>
      <c r="B24" s="14" t="s">
        <v>219</v>
      </c>
      <c r="C24" s="14" t="s">
        <v>162</v>
      </c>
      <c r="D24" s="16" t="s">
        <v>24</v>
      </c>
      <c r="E24" s="14"/>
    </row>
    <row r="25" spans="1:5" ht="23.15" customHeight="1">
      <c r="A25" s="16">
        <f t="shared" si="0"/>
        <v>22</v>
      </c>
      <c r="B25" s="38" t="s">
        <v>200</v>
      </c>
      <c r="C25" s="38" t="s">
        <v>211</v>
      </c>
      <c r="D25" s="37" t="s">
        <v>24</v>
      </c>
      <c r="E25" s="38"/>
    </row>
    <row r="26" spans="1:5" ht="23.15" customHeight="1">
      <c r="A26" s="16">
        <f t="shared" si="0"/>
        <v>23</v>
      </c>
      <c r="B26" s="36" t="s">
        <v>184</v>
      </c>
      <c r="C26" s="36" t="s">
        <v>212</v>
      </c>
      <c r="D26" s="39" t="s">
        <v>24</v>
      </c>
      <c r="E26" s="36"/>
    </row>
    <row r="27" spans="1:5" ht="23.15" customHeight="1">
      <c r="A27" s="16">
        <f t="shared" si="0"/>
        <v>24</v>
      </c>
      <c r="B27" s="38" t="s">
        <v>185</v>
      </c>
      <c r="C27" s="38" t="s">
        <v>213</v>
      </c>
      <c r="D27" s="37" t="s">
        <v>24</v>
      </c>
      <c r="E27" s="38"/>
    </row>
    <row r="28" spans="1:5" ht="23.15" customHeight="1">
      <c r="A28" s="16">
        <f t="shared" si="0"/>
        <v>25</v>
      </c>
      <c r="B28" s="36" t="s">
        <v>159</v>
      </c>
      <c r="C28" s="14" t="s">
        <v>164</v>
      </c>
      <c r="D28" s="16" t="s">
        <v>24</v>
      </c>
      <c r="E28" s="14"/>
    </row>
    <row r="29" spans="1:5" ht="23.15" customHeight="1">
      <c r="A29" s="16">
        <f t="shared" si="0"/>
        <v>26</v>
      </c>
      <c r="B29" s="36" t="s">
        <v>176</v>
      </c>
      <c r="C29" s="14" t="s">
        <v>216</v>
      </c>
      <c r="D29" s="16" t="s">
        <v>24</v>
      </c>
      <c r="E29" s="14"/>
    </row>
    <row r="30" spans="1:5" ht="23.15" customHeight="1">
      <c r="A30" s="16">
        <f t="shared" si="0"/>
        <v>27</v>
      </c>
      <c r="B30" s="38" t="s">
        <v>188</v>
      </c>
      <c r="C30" s="38" t="s">
        <v>198</v>
      </c>
      <c r="D30" s="37" t="s">
        <v>24</v>
      </c>
      <c r="E30" s="38"/>
    </row>
    <row r="31" spans="1:5" ht="23.15" customHeight="1">
      <c r="A31" s="16">
        <f t="shared" si="0"/>
        <v>28</v>
      </c>
      <c r="B31" s="38" t="s">
        <v>199</v>
      </c>
      <c r="C31" s="38" t="s">
        <v>214</v>
      </c>
      <c r="D31" s="37" t="s">
        <v>24</v>
      </c>
      <c r="E31" s="38"/>
    </row>
    <row r="32" spans="1:5" ht="23.15" customHeight="1">
      <c r="A32" s="16">
        <f t="shared" si="0"/>
        <v>29</v>
      </c>
      <c r="B32" s="38" t="s">
        <v>187</v>
      </c>
      <c r="C32" s="38" t="s">
        <v>215</v>
      </c>
      <c r="D32" s="37" t="s">
        <v>24</v>
      </c>
      <c r="E32" s="38"/>
    </row>
    <row r="33" spans="1:5" ht="23.15" customHeight="1">
      <c r="A33" s="16">
        <f t="shared" si="0"/>
        <v>30</v>
      </c>
      <c r="B33" s="36" t="s">
        <v>160</v>
      </c>
      <c r="C33" s="14" t="s">
        <v>189</v>
      </c>
      <c r="D33" s="16" t="s">
        <v>24</v>
      </c>
      <c r="E33" s="14"/>
    </row>
  </sheetData>
  <phoneticPr fontId="4"/>
  <conditionalFormatting sqref="A1:E1 A2:H2 A3:E33">
    <cfRule type="expression" dxfId="8" priority="9">
      <formula>LEFT(A1,4)="＜記入＞"</formula>
    </cfRule>
  </conditionalFormatting>
  <dataValidations count="1">
    <dataValidation type="list" allowBlank="1" showInputMessage="1" showErrorMessage="1" errorTitle="入力エラー" error="プルダウンの選択肢から選んでください。" promptTitle="選択" prompt="実施状況を選択" sqref="D4:D41" xr:uid="{2DF32100-B48E-4298-8588-4939DC2BE962}">
      <formula1>"未着手,実施中,完了,対象外,－"</formula1>
    </dataValidation>
  </dataValidations>
  <printOptions horizontalCentered="1"/>
  <pageMargins left="0.4" right="0.4" top="0.6" bottom="0.6" header="0.3" footer="0.3"/>
  <pageSetup paperSize="9" scale="92" fitToHeight="0" orientation="landscape" r:id="rId1"/>
  <headerFooter>
    <oddFooter>&amp;L&amp;9 &amp;F&amp;C&amp;9 &amp;P / &amp;N&amp;R&amp;9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571E-34EE-486F-B5BC-25B99808FCB1}">
  <sheetPr>
    <pageSetUpPr fitToPage="1"/>
  </sheetPr>
  <dimension ref="A1:H69"/>
  <sheetViews>
    <sheetView showGridLines="0" zoomScaleNormal="100" workbookViewId="0"/>
  </sheetViews>
  <sheetFormatPr defaultColWidth="9" defaultRowHeight="13" customHeight="1"/>
  <cols>
    <col min="1" max="1" width="5.58203125" style="12" customWidth="1"/>
    <col min="2" max="8" width="20.58203125" style="12" customWidth="1"/>
    <col min="9" max="16384" width="9" style="12"/>
  </cols>
  <sheetData>
    <row r="1" spans="1:8" ht="24" customHeight="1">
      <c r="A1" s="26" t="str" cm="1">
        <f t="array" aca="1" ref="A1" ca="1">CONCATENATE("■",MID(CELL("filename",A1),FIND("]",CELL("filename",A1))+1,31))</f>
        <v>■概要・前提条件</v>
      </c>
      <c r="B1" s="24"/>
      <c r="C1" s="24"/>
      <c r="D1" s="24"/>
      <c r="E1" s="24"/>
      <c r="F1" s="24"/>
      <c r="G1" s="24"/>
      <c r="H1" s="25" t="s">
        <v>34</v>
      </c>
    </row>
    <row r="2" spans="1:8" ht="12" customHeight="1"/>
    <row r="3" spans="1:8" ht="12" customHeight="1">
      <c r="A3" s="50" t="s">
        <v>35</v>
      </c>
      <c r="B3" s="45"/>
      <c r="C3" s="45"/>
      <c r="D3" s="45"/>
      <c r="E3" s="45"/>
      <c r="F3" s="45"/>
      <c r="G3" s="45"/>
      <c r="H3" s="46"/>
    </row>
    <row r="4" spans="1:8" ht="24" customHeight="1">
      <c r="A4" s="44" t="s">
        <v>89</v>
      </c>
      <c r="B4" s="45"/>
      <c r="C4" s="45"/>
      <c r="D4" s="45"/>
      <c r="E4" s="45"/>
      <c r="F4" s="45"/>
      <c r="G4" s="45"/>
      <c r="H4" s="46"/>
    </row>
    <row r="5" spans="1:8" ht="11.5"/>
    <row r="6" spans="1:8" s="22" customFormat="1" ht="11.5">
      <c r="A6" s="51" t="s">
        <v>149</v>
      </c>
      <c r="B6" s="52"/>
      <c r="C6" s="52"/>
      <c r="D6" s="52"/>
      <c r="E6" s="52"/>
      <c r="F6" s="52"/>
      <c r="G6" s="52"/>
      <c r="H6" s="53"/>
    </row>
    <row r="7" spans="1:8" s="22" customFormat="1" ht="11.5">
      <c r="A7" s="15" t="s">
        <v>117</v>
      </c>
      <c r="B7" s="17" t="s">
        <v>9</v>
      </c>
      <c r="C7" s="17" t="s">
        <v>113</v>
      </c>
      <c r="D7" s="17" t="s">
        <v>110</v>
      </c>
      <c r="E7" s="17" t="s">
        <v>111</v>
      </c>
      <c r="F7" s="17" t="s">
        <v>112</v>
      </c>
      <c r="G7" s="17" t="s">
        <v>36</v>
      </c>
      <c r="H7" s="17" t="s">
        <v>37</v>
      </c>
    </row>
    <row r="8" spans="1:8" s="22" customFormat="1" ht="24" customHeight="1">
      <c r="A8" s="18">
        <v>1</v>
      </c>
      <c r="B8" s="19"/>
      <c r="C8" s="19"/>
      <c r="D8" s="19"/>
      <c r="E8" s="19"/>
      <c r="F8" s="19"/>
      <c r="G8" s="19"/>
      <c r="H8" s="19"/>
    </row>
    <row r="9" spans="1:8" s="22" customFormat="1" ht="24" customHeight="1">
      <c r="A9" s="18">
        <f>A8+1</f>
        <v>2</v>
      </c>
      <c r="B9" s="19"/>
      <c r="C9" s="19"/>
      <c r="D9" s="19"/>
      <c r="E9" s="19"/>
      <c r="F9" s="19"/>
      <c r="G9" s="19"/>
      <c r="H9" s="19"/>
    </row>
    <row r="10" spans="1:8" s="22" customFormat="1" ht="24" customHeight="1">
      <c r="A10" s="18">
        <f t="shared" ref="A10" si="0">A9+1</f>
        <v>3</v>
      </c>
      <c r="B10" s="19"/>
      <c r="C10" s="19"/>
      <c r="D10" s="19"/>
      <c r="E10" s="19"/>
      <c r="F10" s="19"/>
      <c r="G10" s="19"/>
      <c r="H10" s="19"/>
    </row>
    <row r="11" spans="1:8" ht="12" customHeight="1"/>
    <row r="12" spans="1:8" ht="12" customHeight="1">
      <c r="A12" s="50" t="s">
        <v>148</v>
      </c>
      <c r="B12" s="45"/>
      <c r="C12" s="45"/>
      <c r="D12" s="45"/>
      <c r="E12" s="45"/>
      <c r="F12" s="45"/>
      <c r="G12" s="45"/>
      <c r="H12" s="46"/>
    </row>
    <row r="13" spans="1:8" ht="11.5">
      <c r="A13" s="15" t="s">
        <v>117</v>
      </c>
      <c r="B13" s="15" t="s">
        <v>38</v>
      </c>
      <c r="C13" s="15" t="s">
        <v>39</v>
      </c>
      <c r="D13" s="15" t="s">
        <v>0</v>
      </c>
      <c r="E13" s="15" t="s">
        <v>40</v>
      </c>
      <c r="F13" s="15" t="s">
        <v>41</v>
      </c>
      <c r="G13" s="15" t="s">
        <v>42</v>
      </c>
      <c r="H13" s="15" t="s">
        <v>22</v>
      </c>
    </row>
    <row r="14" spans="1:8" ht="24" customHeight="1">
      <c r="A14" s="16">
        <v>1</v>
      </c>
      <c r="B14" s="14" t="s">
        <v>74</v>
      </c>
      <c r="C14" s="14"/>
      <c r="D14" s="14"/>
      <c r="E14" s="14"/>
      <c r="F14" s="14"/>
      <c r="G14" s="14"/>
      <c r="H14" s="14"/>
    </row>
    <row r="15" spans="1:8" ht="24" customHeight="1">
      <c r="A15" s="16">
        <f>A14+1</f>
        <v>2</v>
      </c>
      <c r="B15" s="14" t="s">
        <v>74</v>
      </c>
      <c r="C15" s="14"/>
      <c r="D15" s="14"/>
      <c r="E15" s="14"/>
      <c r="F15" s="14"/>
      <c r="G15" s="14"/>
      <c r="H15" s="14"/>
    </row>
    <row r="16" spans="1:8" ht="24" customHeight="1">
      <c r="A16" s="16">
        <f t="shared" ref="A16:A18" si="1">A15+1</f>
        <v>3</v>
      </c>
      <c r="B16" s="14" t="s">
        <v>69</v>
      </c>
      <c r="C16" s="14"/>
      <c r="D16" s="14"/>
      <c r="E16" s="14"/>
      <c r="F16" s="14"/>
      <c r="G16" s="14"/>
      <c r="H16" s="14"/>
    </row>
    <row r="17" spans="1:8" ht="24" customHeight="1">
      <c r="A17" s="16">
        <f t="shared" si="1"/>
        <v>4</v>
      </c>
      <c r="B17" s="14" t="s">
        <v>68</v>
      </c>
      <c r="C17" s="14"/>
      <c r="D17" s="14"/>
      <c r="E17" s="14"/>
      <c r="F17" s="14"/>
      <c r="G17" s="14"/>
      <c r="H17" s="14"/>
    </row>
    <row r="18" spans="1:8" ht="24" customHeight="1">
      <c r="A18" s="16">
        <f t="shared" si="1"/>
        <v>5</v>
      </c>
      <c r="B18" s="14" t="s">
        <v>70</v>
      </c>
      <c r="C18" s="14"/>
      <c r="D18" s="14"/>
      <c r="E18" s="14"/>
      <c r="F18" s="14"/>
      <c r="G18" s="14"/>
      <c r="H18" s="14"/>
    </row>
    <row r="19" spans="1:8" ht="24" customHeight="1">
      <c r="A19" s="16">
        <f>A16+1</f>
        <v>4</v>
      </c>
      <c r="B19" s="14" t="s">
        <v>71</v>
      </c>
      <c r="C19" s="14"/>
      <c r="D19" s="14"/>
      <c r="E19" s="14"/>
      <c r="F19" s="14"/>
      <c r="G19" s="14"/>
      <c r="H19" s="14"/>
    </row>
    <row r="20" spans="1:8" ht="24" customHeight="1">
      <c r="A20" s="16">
        <f>A17+1</f>
        <v>5</v>
      </c>
      <c r="B20" s="14" t="s">
        <v>72</v>
      </c>
      <c r="C20" s="14"/>
      <c r="D20" s="14"/>
      <c r="E20" s="14"/>
      <c r="F20" s="14"/>
      <c r="G20" s="14"/>
      <c r="H20" s="14"/>
    </row>
    <row r="21" spans="1:8" ht="24" customHeight="1">
      <c r="A21" s="16">
        <f>A18+1</f>
        <v>6</v>
      </c>
      <c r="B21" s="14" t="s">
        <v>73</v>
      </c>
      <c r="C21" s="14"/>
      <c r="D21" s="14"/>
      <c r="E21" s="14"/>
      <c r="F21" s="14"/>
      <c r="G21" s="14"/>
      <c r="H21" s="14"/>
    </row>
    <row r="22" spans="1:8" s="22" customFormat="1" ht="11.5"/>
    <row r="23" spans="1:8" ht="11.5">
      <c r="A23" s="50" t="s">
        <v>85</v>
      </c>
      <c r="B23" s="45"/>
      <c r="C23" s="45"/>
      <c r="D23" s="45"/>
      <c r="E23" s="45"/>
      <c r="F23" s="45"/>
      <c r="G23" s="45"/>
      <c r="H23" s="46"/>
    </row>
    <row r="24" spans="1:8" ht="11.5">
      <c r="A24" s="15" t="s">
        <v>117</v>
      </c>
      <c r="B24" s="17" t="s">
        <v>116</v>
      </c>
      <c r="C24" s="47" t="s">
        <v>115</v>
      </c>
      <c r="D24" s="48"/>
      <c r="E24" s="48"/>
      <c r="F24" s="48"/>
      <c r="G24" s="48"/>
      <c r="H24" s="49"/>
    </row>
    <row r="25" spans="1:8" ht="24" customHeight="1">
      <c r="A25" s="16">
        <v>1</v>
      </c>
      <c r="B25" s="20" t="s">
        <v>75</v>
      </c>
      <c r="C25" s="55" t="s">
        <v>87</v>
      </c>
      <c r="D25" s="56"/>
      <c r="E25" s="56"/>
      <c r="F25" s="56"/>
      <c r="G25" s="56"/>
      <c r="H25" s="57"/>
    </row>
    <row r="26" spans="1:8" ht="24" customHeight="1">
      <c r="A26" s="16">
        <f>A25+1</f>
        <v>2</v>
      </c>
      <c r="B26" s="20" t="s">
        <v>88</v>
      </c>
      <c r="C26" s="55" t="s">
        <v>90</v>
      </c>
      <c r="D26" s="56"/>
      <c r="E26" s="56"/>
      <c r="F26" s="56"/>
      <c r="G26" s="56"/>
      <c r="H26" s="57"/>
    </row>
    <row r="27" spans="1:8" ht="24" customHeight="1">
      <c r="A27" s="16">
        <f t="shared" ref="A27:A31" si="2">A26+1</f>
        <v>3</v>
      </c>
      <c r="B27" s="20" t="s">
        <v>76</v>
      </c>
      <c r="C27" s="55" t="s">
        <v>81</v>
      </c>
      <c r="D27" s="56"/>
      <c r="E27" s="56"/>
      <c r="F27" s="56"/>
      <c r="G27" s="56"/>
      <c r="H27" s="57"/>
    </row>
    <row r="28" spans="1:8" ht="24" customHeight="1">
      <c r="A28" s="16">
        <f t="shared" si="2"/>
        <v>4</v>
      </c>
      <c r="B28" s="20" t="s">
        <v>77</v>
      </c>
      <c r="C28" s="55" t="s">
        <v>82</v>
      </c>
      <c r="D28" s="56"/>
      <c r="E28" s="56"/>
      <c r="F28" s="56"/>
      <c r="G28" s="56"/>
      <c r="H28" s="57"/>
    </row>
    <row r="29" spans="1:8" ht="24" customHeight="1">
      <c r="A29" s="16">
        <f t="shared" si="2"/>
        <v>5</v>
      </c>
      <c r="B29" s="20" t="s">
        <v>78</v>
      </c>
      <c r="C29" s="55" t="s">
        <v>97</v>
      </c>
      <c r="D29" s="56"/>
      <c r="E29" s="56"/>
      <c r="F29" s="56"/>
      <c r="G29" s="56"/>
      <c r="H29" s="57"/>
    </row>
    <row r="30" spans="1:8" ht="24" customHeight="1">
      <c r="A30" s="16">
        <f t="shared" si="2"/>
        <v>6</v>
      </c>
      <c r="B30" s="20" t="s">
        <v>79</v>
      </c>
      <c r="C30" s="55" t="s">
        <v>83</v>
      </c>
      <c r="D30" s="56"/>
      <c r="E30" s="56"/>
      <c r="F30" s="56"/>
      <c r="G30" s="56"/>
      <c r="H30" s="57"/>
    </row>
    <row r="31" spans="1:8" ht="24" customHeight="1">
      <c r="A31" s="16">
        <f t="shared" si="2"/>
        <v>7</v>
      </c>
      <c r="B31" s="21" t="s">
        <v>80</v>
      </c>
      <c r="C31" s="55" t="s">
        <v>84</v>
      </c>
      <c r="D31" s="56"/>
      <c r="E31" s="56"/>
      <c r="F31" s="56"/>
      <c r="G31" s="56"/>
      <c r="H31" s="57"/>
    </row>
    <row r="32" spans="1:8" ht="11.5"/>
    <row r="33" spans="1:8" ht="11.5">
      <c r="A33" s="50" t="s">
        <v>147</v>
      </c>
      <c r="B33" s="45"/>
      <c r="C33" s="45"/>
      <c r="D33" s="45"/>
      <c r="E33" s="45"/>
      <c r="F33" s="45"/>
      <c r="G33" s="45"/>
      <c r="H33" s="46"/>
    </row>
    <row r="34" spans="1:8" ht="11.5">
      <c r="A34" s="15" t="s">
        <v>117</v>
      </c>
      <c r="B34" s="15" t="s">
        <v>45</v>
      </c>
      <c r="C34" s="54" t="s">
        <v>46</v>
      </c>
      <c r="D34" s="45"/>
      <c r="E34" s="45"/>
      <c r="F34" s="45"/>
      <c r="G34" s="45"/>
      <c r="H34" s="46"/>
    </row>
    <row r="35" spans="1:8" ht="24" customHeight="1">
      <c r="A35" s="16">
        <v>1</v>
      </c>
      <c r="B35" s="14" t="s">
        <v>47</v>
      </c>
      <c r="C35" s="44" t="s">
        <v>48</v>
      </c>
      <c r="D35" s="45"/>
      <c r="E35" s="45"/>
      <c r="F35" s="45"/>
      <c r="G35" s="45"/>
      <c r="H35" s="46"/>
    </row>
    <row r="36" spans="1:8" ht="24" customHeight="1">
      <c r="A36" s="16">
        <v>2</v>
      </c>
      <c r="B36" s="14" t="s">
        <v>49</v>
      </c>
      <c r="C36" s="44" t="s">
        <v>91</v>
      </c>
      <c r="D36" s="45"/>
      <c r="E36" s="45"/>
      <c r="F36" s="45"/>
      <c r="G36" s="45"/>
      <c r="H36" s="46"/>
    </row>
    <row r="37" spans="1:8" ht="24" customHeight="1">
      <c r="A37" s="16">
        <v>3</v>
      </c>
      <c r="B37" s="14" t="s">
        <v>50</v>
      </c>
      <c r="C37" s="44" t="s">
        <v>92</v>
      </c>
      <c r="D37" s="45"/>
      <c r="E37" s="45"/>
      <c r="F37" s="45"/>
      <c r="G37" s="45"/>
      <c r="H37" s="46"/>
    </row>
    <row r="38" spans="1:8" ht="24" customHeight="1">
      <c r="A38" s="16">
        <v>4</v>
      </c>
      <c r="B38" s="14" t="s">
        <v>51</v>
      </c>
      <c r="C38" s="44" t="s">
        <v>93</v>
      </c>
      <c r="D38" s="45"/>
      <c r="E38" s="45"/>
      <c r="F38" s="45"/>
      <c r="G38" s="45"/>
      <c r="H38" s="46"/>
    </row>
    <row r="39" spans="1:8" ht="24" customHeight="1">
      <c r="A39" s="16">
        <v>5</v>
      </c>
      <c r="B39" s="14" t="s">
        <v>52</v>
      </c>
      <c r="C39" s="44" t="s">
        <v>94</v>
      </c>
      <c r="D39" s="45"/>
      <c r="E39" s="45"/>
      <c r="F39" s="45"/>
      <c r="G39" s="45"/>
      <c r="H39" s="46"/>
    </row>
    <row r="40" spans="1:8" ht="24" customHeight="1">
      <c r="A40" s="16">
        <v>6</v>
      </c>
      <c r="B40" s="14" t="s">
        <v>53</v>
      </c>
      <c r="C40" s="44" t="s">
        <v>95</v>
      </c>
      <c r="D40" s="45"/>
      <c r="E40" s="45"/>
      <c r="F40" s="45"/>
      <c r="G40" s="45"/>
      <c r="H40" s="46"/>
    </row>
    <row r="41" spans="1:8" ht="24" customHeight="1">
      <c r="A41" s="16">
        <v>7</v>
      </c>
      <c r="B41" s="14" t="s">
        <v>54</v>
      </c>
      <c r="C41" s="44" t="s">
        <v>96</v>
      </c>
      <c r="D41" s="45"/>
      <c r="E41" s="45"/>
      <c r="F41" s="45"/>
      <c r="G41" s="45"/>
      <c r="H41" s="46"/>
    </row>
    <row r="42" spans="1:8" ht="24" customHeight="1">
      <c r="A42" s="16">
        <v>8</v>
      </c>
      <c r="B42" s="14" t="s">
        <v>55</v>
      </c>
      <c r="C42" s="44" t="s">
        <v>98</v>
      </c>
      <c r="D42" s="45"/>
      <c r="E42" s="45"/>
      <c r="F42" s="45"/>
      <c r="G42" s="45"/>
      <c r="H42" s="46"/>
    </row>
    <row r="43" spans="1:8" ht="24" customHeight="1">
      <c r="A43" s="16">
        <v>9</v>
      </c>
      <c r="B43" s="14" t="s">
        <v>56</v>
      </c>
      <c r="C43" s="44" t="s">
        <v>99</v>
      </c>
      <c r="D43" s="45"/>
      <c r="E43" s="45"/>
      <c r="F43" s="45"/>
      <c r="G43" s="45"/>
      <c r="H43" s="46"/>
    </row>
    <row r="44" spans="1:8" ht="24" customHeight="1">
      <c r="A44" s="16">
        <v>10</v>
      </c>
      <c r="B44" s="14" t="s">
        <v>57</v>
      </c>
      <c r="C44" s="44" t="s">
        <v>100</v>
      </c>
      <c r="D44" s="45"/>
      <c r="E44" s="45"/>
      <c r="F44" s="45"/>
      <c r="G44" s="45"/>
      <c r="H44" s="46"/>
    </row>
    <row r="45" spans="1:8" ht="24" customHeight="1">
      <c r="A45" s="16">
        <v>11</v>
      </c>
      <c r="B45" s="14" t="s">
        <v>44</v>
      </c>
      <c r="C45" s="44" t="s">
        <v>101</v>
      </c>
      <c r="D45" s="45"/>
      <c r="E45" s="45"/>
      <c r="F45" s="45"/>
      <c r="G45" s="45"/>
      <c r="H45" s="46"/>
    </row>
    <row r="46" spans="1:8" ht="24" customHeight="1">
      <c r="A46" s="16">
        <v>12</v>
      </c>
      <c r="B46" s="14" t="s">
        <v>43</v>
      </c>
      <c r="C46" s="44" t="s">
        <v>102</v>
      </c>
      <c r="D46" s="45"/>
      <c r="E46" s="45"/>
      <c r="F46" s="45"/>
      <c r="G46" s="45"/>
      <c r="H46" s="46"/>
    </row>
    <row r="47" spans="1:8" ht="24" customHeight="1">
      <c r="A47" s="16">
        <v>13</v>
      </c>
      <c r="B47" s="14" t="s">
        <v>58</v>
      </c>
      <c r="C47" s="44" t="s">
        <v>59</v>
      </c>
      <c r="D47" s="45"/>
      <c r="E47" s="45"/>
      <c r="F47" s="45"/>
      <c r="G47" s="45"/>
      <c r="H47" s="46"/>
    </row>
    <row r="48" spans="1:8" ht="24" customHeight="1">
      <c r="A48" s="16">
        <v>14</v>
      </c>
      <c r="B48" s="14" t="s">
        <v>60</v>
      </c>
      <c r="C48" s="44" t="s">
        <v>103</v>
      </c>
      <c r="D48" s="45"/>
      <c r="E48" s="45"/>
      <c r="F48" s="45"/>
      <c r="G48" s="45"/>
      <c r="H48" s="46"/>
    </row>
    <row r="49" spans="1:8" ht="24" customHeight="1">
      <c r="A49" s="16">
        <v>15</v>
      </c>
      <c r="B49" s="14" t="s">
        <v>61</v>
      </c>
      <c r="C49" s="44" t="s">
        <v>104</v>
      </c>
      <c r="D49" s="45"/>
      <c r="E49" s="45"/>
      <c r="F49" s="45"/>
      <c r="G49" s="45"/>
      <c r="H49" s="46"/>
    </row>
    <row r="50" spans="1:8" ht="24" customHeight="1">
      <c r="A50" s="16">
        <v>16</v>
      </c>
      <c r="B50" s="14" t="s">
        <v>62</v>
      </c>
      <c r="C50" s="44" t="s">
        <v>105</v>
      </c>
      <c r="D50" s="45"/>
      <c r="E50" s="45"/>
      <c r="F50" s="45"/>
      <c r="G50" s="45"/>
      <c r="H50" s="46"/>
    </row>
    <row r="51" spans="1:8" ht="24" customHeight="1">
      <c r="A51" s="16">
        <v>17</v>
      </c>
      <c r="B51" s="14" t="s">
        <v>63</v>
      </c>
      <c r="C51" s="44" t="s">
        <v>106</v>
      </c>
      <c r="D51" s="45"/>
      <c r="E51" s="45"/>
      <c r="F51" s="45"/>
      <c r="G51" s="45"/>
      <c r="H51" s="46"/>
    </row>
    <row r="52" spans="1:8" ht="24" customHeight="1">
      <c r="A52" s="16">
        <v>18</v>
      </c>
      <c r="B52" s="14" t="s">
        <v>64</v>
      </c>
      <c r="C52" s="44" t="s">
        <v>65</v>
      </c>
      <c r="D52" s="45"/>
      <c r="E52" s="45"/>
      <c r="F52" s="45"/>
      <c r="G52" s="45"/>
      <c r="H52" s="46"/>
    </row>
    <row r="53" spans="1:8" ht="24" customHeight="1">
      <c r="A53" s="16">
        <v>19</v>
      </c>
      <c r="B53" s="14" t="s">
        <v>66</v>
      </c>
      <c r="C53" s="44" t="s">
        <v>67</v>
      </c>
      <c r="D53" s="45"/>
      <c r="E53" s="45"/>
      <c r="F53" s="45"/>
      <c r="G53" s="45"/>
      <c r="H53" s="46"/>
    </row>
    <row r="54" spans="1:8" ht="11.5"/>
    <row r="55" spans="1:8" ht="11.5">
      <c r="A55" s="50" t="s">
        <v>151</v>
      </c>
      <c r="B55" s="45"/>
      <c r="C55" s="45"/>
      <c r="D55" s="45"/>
      <c r="E55" s="45"/>
      <c r="F55" s="45"/>
      <c r="G55" s="45"/>
      <c r="H55" s="46"/>
    </row>
    <row r="56" spans="1:8" ht="11.5">
      <c r="A56" s="15" t="s">
        <v>117</v>
      </c>
      <c r="B56" s="58" t="s">
        <v>45</v>
      </c>
      <c r="C56" s="59"/>
      <c r="D56" s="59"/>
      <c r="E56" s="59"/>
      <c r="F56" s="59"/>
      <c r="G56" s="59"/>
      <c r="H56" s="60"/>
    </row>
    <row r="57" spans="1:8" ht="24" customHeight="1">
      <c r="A57" s="16">
        <v>1</v>
      </c>
      <c r="B57" s="61" t="s">
        <v>142</v>
      </c>
      <c r="C57" s="62"/>
      <c r="D57" s="62"/>
      <c r="E57" s="62"/>
      <c r="F57" s="62"/>
      <c r="G57" s="62"/>
      <c r="H57" s="63"/>
    </row>
    <row r="58" spans="1:8" ht="24" customHeight="1">
      <c r="A58" s="16">
        <f>A57+1</f>
        <v>2</v>
      </c>
      <c r="B58" s="61" t="s">
        <v>141</v>
      </c>
      <c r="C58" s="62"/>
      <c r="D58" s="62"/>
      <c r="E58" s="62"/>
      <c r="F58" s="62"/>
      <c r="G58" s="62"/>
      <c r="H58" s="63"/>
    </row>
    <row r="59" spans="1:8" ht="24" customHeight="1">
      <c r="A59" s="16">
        <f t="shared" ref="A59:A64" si="3">A58+1</f>
        <v>3</v>
      </c>
      <c r="B59" s="61" t="s">
        <v>143</v>
      </c>
      <c r="C59" s="62"/>
      <c r="D59" s="62"/>
      <c r="E59" s="62"/>
      <c r="F59" s="62"/>
      <c r="G59" s="62"/>
      <c r="H59" s="63"/>
    </row>
    <row r="60" spans="1:8" ht="24" customHeight="1">
      <c r="A60" s="16">
        <f t="shared" si="3"/>
        <v>4</v>
      </c>
      <c r="B60" s="61" t="s">
        <v>144</v>
      </c>
      <c r="C60" s="62"/>
      <c r="D60" s="62"/>
      <c r="E60" s="62"/>
      <c r="F60" s="62"/>
      <c r="G60" s="62"/>
      <c r="H60" s="63"/>
    </row>
    <row r="61" spans="1:8" ht="24" customHeight="1">
      <c r="A61" s="16">
        <f t="shared" si="3"/>
        <v>5</v>
      </c>
      <c r="B61" s="61" t="s">
        <v>145</v>
      </c>
      <c r="C61" s="62"/>
      <c r="D61" s="62"/>
      <c r="E61" s="62"/>
      <c r="F61" s="62"/>
      <c r="G61" s="62"/>
      <c r="H61" s="63"/>
    </row>
    <row r="62" spans="1:8" ht="24" customHeight="1">
      <c r="A62" s="16">
        <f t="shared" si="3"/>
        <v>6</v>
      </c>
      <c r="B62" s="61" t="s">
        <v>134</v>
      </c>
      <c r="C62" s="62"/>
      <c r="D62" s="62"/>
      <c r="E62" s="62"/>
      <c r="F62" s="62"/>
      <c r="G62" s="62"/>
      <c r="H62" s="63"/>
    </row>
    <row r="63" spans="1:8" ht="24" customHeight="1">
      <c r="A63" s="16">
        <f t="shared" si="3"/>
        <v>7</v>
      </c>
      <c r="B63" s="61" t="s">
        <v>135</v>
      </c>
      <c r="C63" s="62"/>
      <c r="D63" s="62"/>
      <c r="E63" s="62"/>
      <c r="F63" s="62"/>
      <c r="G63" s="62"/>
      <c r="H63" s="63"/>
    </row>
    <row r="64" spans="1:8" ht="24" customHeight="1">
      <c r="A64" s="16">
        <f t="shared" si="3"/>
        <v>8</v>
      </c>
      <c r="B64" s="61" t="s">
        <v>136</v>
      </c>
      <c r="C64" s="62"/>
      <c r="D64" s="62"/>
      <c r="E64" s="62"/>
      <c r="F64" s="62"/>
      <c r="G64" s="62"/>
      <c r="H64" s="63"/>
    </row>
    <row r="65" spans="1:8" ht="24" customHeight="1">
      <c r="A65" s="16">
        <f t="shared" ref="A65:A67" si="4">A64+1</f>
        <v>9</v>
      </c>
      <c r="B65" s="61" t="s">
        <v>137</v>
      </c>
      <c r="C65" s="62"/>
      <c r="D65" s="62"/>
      <c r="E65" s="62"/>
      <c r="F65" s="62"/>
      <c r="G65" s="62"/>
      <c r="H65" s="63"/>
    </row>
    <row r="66" spans="1:8" ht="24" customHeight="1">
      <c r="A66" s="16">
        <f t="shared" si="4"/>
        <v>10</v>
      </c>
      <c r="B66" s="61" t="s">
        <v>146</v>
      </c>
      <c r="C66" s="62"/>
      <c r="D66" s="62"/>
      <c r="E66" s="62"/>
      <c r="F66" s="62"/>
      <c r="G66" s="62"/>
      <c r="H66" s="63"/>
    </row>
    <row r="67" spans="1:8" ht="24" customHeight="1">
      <c r="A67" s="16">
        <f t="shared" si="4"/>
        <v>11</v>
      </c>
      <c r="B67" s="61" t="s">
        <v>138</v>
      </c>
      <c r="C67" s="62"/>
      <c r="D67" s="62"/>
      <c r="E67" s="62"/>
      <c r="F67" s="62"/>
      <c r="G67" s="62"/>
      <c r="H67" s="63"/>
    </row>
    <row r="68" spans="1:8" ht="24" customHeight="1">
      <c r="A68" s="16">
        <f t="shared" ref="A68:A69" si="5">A67+1</f>
        <v>12</v>
      </c>
      <c r="B68" s="61" t="s">
        <v>139</v>
      </c>
      <c r="C68" s="62"/>
      <c r="D68" s="62"/>
      <c r="E68" s="62"/>
      <c r="F68" s="62"/>
      <c r="G68" s="62"/>
      <c r="H68" s="63"/>
    </row>
    <row r="69" spans="1:8" ht="24" customHeight="1">
      <c r="A69" s="16">
        <f t="shared" si="5"/>
        <v>13</v>
      </c>
      <c r="B69" s="61" t="s">
        <v>140</v>
      </c>
      <c r="C69" s="62"/>
      <c r="D69" s="62"/>
      <c r="E69" s="62"/>
      <c r="F69" s="62"/>
      <c r="G69" s="62"/>
      <c r="H69" s="63"/>
    </row>
  </sheetData>
  <mergeCells count="49">
    <mergeCell ref="B66:H66"/>
    <mergeCell ref="B67:H67"/>
    <mergeCell ref="B68:H68"/>
    <mergeCell ref="B69:H69"/>
    <mergeCell ref="B61:H61"/>
    <mergeCell ref="B65:H65"/>
    <mergeCell ref="B56:H56"/>
    <mergeCell ref="B57:H57"/>
    <mergeCell ref="B64:H64"/>
    <mergeCell ref="B63:H63"/>
    <mergeCell ref="B58:H58"/>
    <mergeCell ref="B62:H62"/>
    <mergeCell ref="B59:H59"/>
    <mergeCell ref="B60:H60"/>
    <mergeCell ref="C24:H24"/>
    <mergeCell ref="A55:H55"/>
    <mergeCell ref="A3:H3"/>
    <mergeCell ref="A4:H4"/>
    <mergeCell ref="A6:H6"/>
    <mergeCell ref="C34:H34"/>
    <mergeCell ref="A12:H12"/>
    <mergeCell ref="A23:H23"/>
    <mergeCell ref="C25:H25"/>
    <mergeCell ref="C26:H26"/>
    <mergeCell ref="C27:H27"/>
    <mergeCell ref="C28:H28"/>
    <mergeCell ref="C29:H29"/>
    <mergeCell ref="C30:H30"/>
    <mergeCell ref="C31:H31"/>
    <mergeCell ref="A33:H33"/>
    <mergeCell ref="C46:H46"/>
    <mergeCell ref="C35:H35"/>
    <mergeCell ref="C36:H36"/>
    <mergeCell ref="C37:H37"/>
    <mergeCell ref="C38:H38"/>
    <mergeCell ref="C39:H39"/>
    <mergeCell ref="C40:H40"/>
    <mergeCell ref="C41:H41"/>
    <mergeCell ref="C42:H42"/>
    <mergeCell ref="C43:H43"/>
    <mergeCell ref="C44:H44"/>
    <mergeCell ref="C45:H45"/>
    <mergeCell ref="C53:H53"/>
    <mergeCell ref="C47:H47"/>
    <mergeCell ref="C48:H48"/>
    <mergeCell ref="C49:H49"/>
    <mergeCell ref="C50:H50"/>
    <mergeCell ref="C51:H51"/>
    <mergeCell ref="C52:H52"/>
  </mergeCells>
  <phoneticPr fontId="4"/>
  <conditionalFormatting sqref="A24:C31 A32:H55 A56:B69">
    <cfRule type="expression" dxfId="7" priority="3">
      <formula>LEFT(A24,4)="＜記入＞"</formula>
    </cfRule>
  </conditionalFormatting>
  <conditionalFormatting sqref="A1:H23">
    <cfRule type="expression" dxfId="6" priority="1">
      <formula>LEFT(A1,4)="＜記入＞"</formula>
    </cfRule>
  </conditionalFormatting>
  <hyperlinks>
    <hyperlink ref="H1" location="'目次'!A1" display="目次へ戻る" xr:uid="{85194A81-A28E-4B89-8922-B3BE0CBE5F99}"/>
  </hyperlinks>
  <printOptions horizontalCentered="1"/>
  <pageMargins left="0.4" right="0.4" top="0.6" bottom="0.6" header="0.3" footer="0.3"/>
  <pageSetup paperSize="9" scale="85" fitToHeight="0" orientation="landscape" r:id="rId1"/>
  <headerFooter>
    <oddFooter>&amp;L&amp;9 &amp;F&amp;C&amp;9 &amp;P / &amp;N&amp;R&amp;9 &amp;A</oddFooter>
  </headerFooter>
  <rowBreaks count="1" manualBreakCount="1">
    <brk id="1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E240C-8AA4-41CF-8490-E8FA06B1EAFC}">
  <sheetPr>
    <pageSetUpPr fitToPage="1"/>
  </sheetPr>
  <dimension ref="A1:K13"/>
  <sheetViews>
    <sheetView showGridLines="0" workbookViewId="0">
      <selection activeCell="A9" sqref="A9:XFD15"/>
    </sheetView>
  </sheetViews>
  <sheetFormatPr defaultColWidth="9" defaultRowHeight="11.5"/>
  <cols>
    <col min="1" max="1" width="5.58203125" style="12" customWidth="1"/>
    <col min="2" max="2" width="16.58203125" style="12" customWidth="1"/>
    <col min="3" max="3" width="20.58203125" style="12" customWidth="1"/>
    <col min="4" max="4" width="10.58203125" style="12" customWidth="1"/>
    <col min="5" max="5" width="38.5" style="12" customWidth="1"/>
    <col min="6" max="6" width="26.25" style="12" customWidth="1"/>
    <col min="7" max="7" width="29.75" style="12" customWidth="1"/>
    <col min="8" max="8" width="7.83203125" style="12" customWidth="1"/>
    <col min="9" max="9" width="8.75" style="12" customWidth="1"/>
    <col min="10" max="10" width="12.25" style="12" customWidth="1"/>
    <col min="11" max="11" width="15.75" style="12" customWidth="1"/>
    <col min="12" max="16384" width="9" style="12"/>
  </cols>
  <sheetData>
    <row r="1" spans="1:11" ht="24" customHeight="1">
      <c r="A1" s="31" t="str" cm="1">
        <f t="array" aca="1" ref="A1" ca="1">CONCATENATE("■",MID(CELL("filename",A1),FIND("]",CELL("filename",A1))+1,31))</f>
        <v>■template</v>
      </c>
      <c r="B1" s="23"/>
      <c r="C1" s="23"/>
      <c r="D1" s="23"/>
      <c r="E1" s="23"/>
      <c r="F1" s="23"/>
      <c r="G1" s="23"/>
      <c r="H1" s="13"/>
      <c r="J1" s="64" t="s">
        <v>34</v>
      </c>
      <c r="K1" s="65"/>
    </row>
    <row r="3" spans="1:11" ht="24" customHeight="1">
      <c r="A3" s="15" t="s">
        <v>119</v>
      </c>
      <c r="B3" s="15" t="s">
        <v>178</v>
      </c>
      <c r="C3" s="15" t="s">
        <v>114</v>
      </c>
      <c r="D3" s="15" t="s">
        <v>120</v>
      </c>
      <c r="E3" s="15" t="s">
        <v>121</v>
      </c>
      <c r="F3" s="15" t="s">
        <v>122</v>
      </c>
      <c r="G3" s="15" t="s">
        <v>123</v>
      </c>
      <c r="H3" s="15" t="s">
        <v>124</v>
      </c>
      <c r="I3" s="15" t="s">
        <v>118</v>
      </c>
      <c r="J3" s="15" t="s">
        <v>125</v>
      </c>
      <c r="K3" s="15" t="s">
        <v>22</v>
      </c>
    </row>
    <row r="4" spans="1:11" ht="24" customHeight="1">
      <c r="A4" s="33"/>
      <c r="B4" s="32" t="s">
        <v>126</v>
      </c>
      <c r="C4" s="33"/>
      <c r="D4" s="33"/>
      <c r="E4" s="33"/>
      <c r="F4" s="33"/>
      <c r="G4" s="33"/>
      <c r="H4" s="33"/>
      <c r="I4" s="33"/>
      <c r="J4" s="33"/>
      <c r="K4" s="33"/>
    </row>
    <row r="5" spans="1:11" ht="24" customHeight="1">
      <c r="A5" s="33"/>
      <c r="B5" s="32" t="s">
        <v>127</v>
      </c>
      <c r="C5" s="33"/>
      <c r="D5" s="33"/>
      <c r="E5" s="33"/>
      <c r="F5" s="33"/>
      <c r="G5" s="33"/>
      <c r="H5" s="33"/>
      <c r="I5" s="33"/>
      <c r="J5" s="33"/>
      <c r="K5" s="33"/>
    </row>
    <row r="6" spans="1:11" ht="24" customHeight="1">
      <c r="A6" s="33"/>
      <c r="B6" s="32" t="s">
        <v>129</v>
      </c>
      <c r="C6" s="33"/>
      <c r="D6" s="33"/>
      <c r="E6" s="33"/>
      <c r="F6" s="33"/>
      <c r="G6" s="33"/>
      <c r="H6" s="33"/>
      <c r="I6" s="33"/>
      <c r="J6" s="33"/>
      <c r="K6" s="33"/>
    </row>
    <row r="7" spans="1:11" ht="24" customHeight="1">
      <c r="A7" s="33"/>
      <c r="B7" s="32" t="s">
        <v>128</v>
      </c>
      <c r="C7" s="33"/>
      <c r="D7" s="33"/>
      <c r="E7" s="33"/>
      <c r="F7" s="33"/>
      <c r="G7" s="33"/>
      <c r="H7" s="33"/>
      <c r="I7" s="33"/>
      <c r="J7" s="33"/>
      <c r="K7" s="33"/>
    </row>
    <row r="8" spans="1:11" ht="24" customHeight="1">
      <c r="A8" s="33"/>
      <c r="B8" s="32" t="s">
        <v>66</v>
      </c>
      <c r="C8" s="33"/>
      <c r="D8" s="33"/>
      <c r="E8" s="33"/>
      <c r="F8" s="33"/>
      <c r="G8" s="33"/>
      <c r="H8" s="33"/>
      <c r="I8" s="33"/>
      <c r="J8" s="33"/>
      <c r="K8" s="33"/>
    </row>
    <row r="10" spans="1:11">
      <c r="A10" s="50" t="s">
        <v>130</v>
      </c>
      <c r="B10" s="45"/>
      <c r="C10" s="45"/>
      <c r="D10" s="45"/>
      <c r="E10" s="45"/>
      <c r="F10" s="45"/>
      <c r="G10" s="45"/>
      <c r="H10" s="45"/>
      <c r="I10" s="45"/>
      <c r="J10" s="45"/>
      <c r="K10" s="46"/>
    </row>
    <row r="11" spans="1:11" ht="24" customHeight="1">
      <c r="A11" s="15" t="s">
        <v>18</v>
      </c>
      <c r="B11" s="54" t="s">
        <v>131</v>
      </c>
      <c r="C11" s="46"/>
      <c r="D11" s="15" t="s">
        <v>132</v>
      </c>
      <c r="E11" s="54" t="s">
        <v>152</v>
      </c>
      <c r="F11" s="46"/>
      <c r="G11" s="54" t="s">
        <v>133</v>
      </c>
      <c r="H11" s="45"/>
      <c r="I11" s="45"/>
      <c r="J11" s="46"/>
      <c r="K11" s="15" t="s">
        <v>22</v>
      </c>
    </row>
    <row r="12" spans="1:11" ht="40" customHeight="1">
      <c r="A12" s="33"/>
      <c r="B12" s="66"/>
      <c r="C12" s="67"/>
      <c r="D12" s="33"/>
      <c r="E12" s="66"/>
      <c r="F12" s="67"/>
      <c r="G12" s="66"/>
      <c r="H12" s="68"/>
      <c r="I12" s="68"/>
      <c r="J12" s="67"/>
      <c r="K12" s="33"/>
    </row>
    <row r="13" spans="1:11" ht="40" customHeight="1">
      <c r="A13" s="33"/>
      <c r="B13" s="66"/>
      <c r="C13" s="67"/>
      <c r="D13" s="33"/>
      <c r="E13" s="66"/>
      <c r="F13" s="67"/>
      <c r="G13" s="66"/>
      <c r="H13" s="68"/>
      <c r="I13" s="68"/>
      <c r="J13" s="67"/>
      <c r="K13" s="33"/>
    </row>
  </sheetData>
  <mergeCells count="11">
    <mergeCell ref="B12:C12"/>
    <mergeCell ref="E12:F12"/>
    <mergeCell ref="G12:J12"/>
    <mergeCell ref="B13:C13"/>
    <mergeCell ref="E13:F13"/>
    <mergeCell ref="G13:J13"/>
    <mergeCell ref="J1:K1"/>
    <mergeCell ref="A10:K10"/>
    <mergeCell ref="B11:C11"/>
    <mergeCell ref="E11:F11"/>
    <mergeCell ref="G11:J11"/>
  </mergeCells>
  <phoneticPr fontId="4"/>
  <conditionalFormatting sqref="A1:K2">
    <cfRule type="expression" dxfId="5" priority="1">
      <formula>LEFT(A1,4)="＜記入＞"</formula>
    </cfRule>
  </conditionalFormatting>
  <conditionalFormatting sqref="A3:K11 A12:B13 D12:E13 G12:G13 K12:K13">
    <cfRule type="expression" dxfId="4" priority="4">
      <formula>LEFT(A3,4)="＜記入＞"</formula>
    </cfRule>
  </conditionalFormatting>
  <conditionalFormatting sqref="H4:H8">
    <cfRule type="cellIs" dxfId="3" priority="3" operator="equal">
      <formula>"NG"</formula>
    </cfRule>
  </conditionalFormatting>
  <dataValidations count="2">
    <dataValidation type="list" allowBlank="1" showInputMessage="1" showErrorMessage="1" errorTitle="入力エラー" error="プルダウンの選択肢から選んでください。" promptTitle="選択" prompt="区分を選択" sqref="B4:B8" xr:uid="{6BD95053-9736-4330-8612-A7986E98D590}">
      <formula1>"事前確認,変更前バックアップ,作業,事後確認,切り戻し"</formula1>
    </dataValidation>
    <dataValidation type="list" allowBlank="1" showInputMessage="1" showErrorMessage="1" sqref="H4:H8" xr:uid="{BB820118-E403-40F0-B8DD-F13DDE9E38B4}">
      <formula1>"OK,NG"</formula1>
    </dataValidation>
  </dataValidations>
  <hyperlinks>
    <hyperlink ref="J1" location="'目次'!A1" display="目次へ戻る" xr:uid="{891C8166-38A1-4B6E-9211-89E5AA1DC3DD}"/>
  </hyperlinks>
  <printOptions horizontalCentered="1"/>
  <pageMargins left="0.4" right="0.4" top="0.6" bottom="0.6" header="0.3" footer="0.3"/>
  <pageSetup paperSize="9" scale="66" fitToHeight="0" orientation="landscape" r:id="rId1"/>
  <headerFooter>
    <oddFooter>&amp;L&amp;9 &amp;F&amp;C&amp;9 &amp;P / &amp;N&amp;R&amp;9 &amp;A</oddFooter>
  </headerFooter>
  <rowBreaks count="1" manualBreakCount="1">
    <brk id="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C24BC-C614-4A53-A272-2053004CC41C}">
  <sheetPr>
    <pageSetUpPr fitToPage="1"/>
  </sheetPr>
  <dimension ref="A1:K20"/>
  <sheetViews>
    <sheetView showGridLines="0" tabSelected="1" workbookViewId="0">
      <selection activeCell="C32" sqref="C31:C32"/>
    </sheetView>
  </sheetViews>
  <sheetFormatPr defaultColWidth="9" defaultRowHeight="11.5"/>
  <cols>
    <col min="1" max="1" width="5.58203125" style="12" customWidth="1"/>
    <col min="2" max="2" width="16.58203125" style="12" customWidth="1"/>
    <col min="3" max="3" width="20.58203125" style="12" customWidth="1"/>
    <col min="4" max="4" width="10.58203125" style="12" customWidth="1"/>
    <col min="5" max="5" width="38.5" style="12" customWidth="1"/>
    <col min="6" max="6" width="26.25" style="12" customWidth="1"/>
    <col min="7" max="7" width="29.75" style="12" customWidth="1"/>
    <col min="8" max="8" width="7.83203125" style="12" customWidth="1"/>
    <col min="9" max="9" width="8.75" style="12" customWidth="1"/>
    <col min="10" max="10" width="12.25" style="12" customWidth="1"/>
    <col min="11" max="11" width="15.75" style="12" customWidth="1"/>
    <col min="12" max="16384" width="9" style="12"/>
  </cols>
  <sheetData>
    <row r="1" spans="1:11" ht="24" customHeight="1">
      <c r="A1" s="31" t="str" cm="1">
        <f t="array" aca="1" ref="A1" ca="1">CONCATENATE("■",MID(CELL("filename",A1),FIND("]",CELL("filename",A1))+1,31))</f>
        <v>■Asteria</v>
      </c>
      <c r="B1" s="23"/>
      <c r="C1" s="23"/>
      <c r="D1" s="23"/>
      <c r="E1" s="23"/>
      <c r="F1" s="23"/>
      <c r="G1" s="23"/>
      <c r="H1" s="13"/>
      <c r="J1" s="64" t="s">
        <v>34</v>
      </c>
      <c r="K1" s="65"/>
    </row>
    <row r="3" spans="1:11">
      <c r="A3" s="50" t="s">
        <v>130</v>
      </c>
      <c r="B3" s="45"/>
      <c r="C3" s="45"/>
      <c r="D3" s="45"/>
      <c r="E3" s="45"/>
      <c r="F3" s="45"/>
      <c r="G3" s="45"/>
      <c r="H3" s="45"/>
      <c r="I3" s="45"/>
      <c r="J3" s="45"/>
      <c r="K3" s="46"/>
    </row>
    <row r="4" spans="1:11" ht="18">
      <c r="A4" s="69" t="s">
        <v>220</v>
      </c>
      <c r="B4" s="70"/>
      <c r="C4" s="41" t="s">
        <v>63</v>
      </c>
      <c r="D4" s="40" t="s">
        <v>221</v>
      </c>
      <c r="E4" s="71" t="s">
        <v>222</v>
      </c>
      <c r="F4" s="70"/>
      <c r="G4" s="69" t="s">
        <v>223</v>
      </c>
      <c r="H4" s="70"/>
      <c r="I4" s="71" t="s">
        <v>224</v>
      </c>
      <c r="J4" s="72"/>
      <c r="K4" s="70"/>
    </row>
    <row r="5" spans="1:11" ht="18">
      <c r="A5" s="69" t="s">
        <v>225</v>
      </c>
      <c r="B5" s="70"/>
      <c r="C5" s="41" t="s">
        <v>226</v>
      </c>
      <c r="D5" s="40" t="s">
        <v>227</v>
      </c>
      <c r="E5" s="71" t="s">
        <v>228</v>
      </c>
      <c r="F5" s="70"/>
      <c r="G5" s="69" t="s">
        <v>229</v>
      </c>
      <c r="H5" s="70"/>
      <c r="I5" s="71" t="s">
        <v>230</v>
      </c>
      <c r="J5" s="72"/>
      <c r="K5" s="70"/>
    </row>
    <row r="6" spans="1:11" ht="27">
      <c r="A6" s="69" t="s">
        <v>231</v>
      </c>
      <c r="B6" s="70"/>
      <c r="C6" s="41" t="s">
        <v>232</v>
      </c>
      <c r="D6" s="40" t="s">
        <v>233</v>
      </c>
      <c r="E6" s="71" t="s">
        <v>234</v>
      </c>
      <c r="F6" s="70"/>
      <c r="G6" s="69" t="s">
        <v>235</v>
      </c>
      <c r="H6" s="70"/>
      <c r="I6" s="71" t="s">
        <v>236</v>
      </c>
      <c r="J6" s="72"/>
      <c r="K6" s="70"/>
    </row>
    <row r="7" spans="1:11" ht="18">
      <c r="A7" s="69" t="s">
        <v>237</v>
      </c>
      <c r="B7" s="70"/>
      <c r="C7" s="41" t="s">
        <v>238</v>
      </c>
      <c r="D7" s="40" t="s">
        <v>239</v>
      </c>
      <c r="E7" s="71" t="s">
        <v>240</v>
      </c>
      <c r="F7" s="70"/>
      <c r="G7" s="69" t="s">
        <v>241</v>
      </c>
      <c r="H7" s="70"/>
      <c r="I7" s="71" t="s">
        <v>242</v>
      </c>
      <c r="J7" s="72"/>
      <c r="K7" s="70"/>
    </row>
    <row r="9" spans="1:11">
      <c r="A9" s="50" t="s">
        <v>130</v>
      </c>
      <c r="B9" s="45"/>
      <c r="C9" s="45"/>
      <c r="D9" s="45"/>
      <c r="E9" s="45"/>
      <c r="F9" s="45"/>
      <c r="G9" s="45"/>
      <c r="H9" s="45"/>
      <c r="I9" s="45"/>
      <c r="J9" s="45"/>
      <c r="K9" s="46"/>
    </row>
    <row r="10" spans="1:11" ht="24" customHeight="1">
      <c r="A10" s="15" t="s">
        <v>119</v>
      </c>
      <c r="B10" s="15" t="s">
        <v>178</v>
      </c>
      <c r="C10" s="15" t="s">
        <v>114</v>
      </c>
      <c r="D10" s="15" t="s">
        <v>120</v>
      </c>
      <c r="E10" s="15" t="s">
        <v>121</v>
      </c>
      <c r="F10" s="15" t="s">
        <v>122</v>
      </c>
      <c r="G10" s="15" t="s">
        <v>123</v>
      </c>
      <c r="H10" s="15" t="s">
        <v>124</v>
      </c>
      <c r="I10" s="15" t="s">
        <v>118</v>
      </c>
      <c r="J10" s="15" t="s">
        <v>125</v>
      </c>
      <c r="K10" s="15" t="s">
        <v>22</v>
      </c>
    </row>
    <row r="11" spans="1:11" ht="24" customHeight="1">
      <c r="A11" s="33"/>
      <c r="B11" s="32" t="s">
        <v>126</v>
      </c>
      <c r="C11" s="33"/>
      <c r="D11" s="33"/>
      <c r="E11" s="33"/>
      <c r="F11" s="33"/>
      <c r="G11" s="33"/>
      <c r="H11" s="33"/>
      <c r="I11" s="33"/>
      <c r="J11" s="33"/>
      <c r="K11" s="33"/>
    </row>
    <row r="12" spans="1:11" ht="24" customHeight="1">
      <c r="A12" s="33"/>
      <c r="B12" s="32" t="s">
        <v>127</v>
      </c>
      <c r="C12" s="33"/>
      <c r="D12" s="33"/>
      <c r="E12" s="33"/>
      <c r="F12" s="33"/>
      <c r="G12" s="33"/>
      <c r="H12" s="33"/>
      <c r="I12" s="33"/>
      <c r="J12" s="33"/>
      <c r="K12" s="33"/>
    </row>
    <row r="13" spans="1:11" ht="24" customHeight="1">
      <c r="A13" s="33"/>
      <c r="B13" s="32" t="s">
        <v>129</v>
      </c>
      <c r="C13" s="33"/>
      <c r="D13" s="33"/>
      <c r="E13" s="33"/>
      <c r="F13" s="33"/>
      <c r="G13" s="33"/>
      <c r="H13" s="33"/>
      <c r="I13" s="33"/>
      <c r="J13" s="33"/>
      <c r="K13" s="33"/>
    </row>
    <row r="14" spans="1:11" ht="24" customHeight="1">
      <c r="A14" s="33"/>
      <c r="B14" s="32" t="s">
        <v>128</v>
      </c>
      <c r="C14" s="33"/>
      <c r="D14" s="33"/>
      <c r="E14" s="33"/>
      <c r="F14" s="33"/>
      <c r="G14" s="33"/>
      <c r="H14" s="33"/>
      <c r="I14" s="33"/>
      <c r="J14" s="33"/>
      <c r="K14" s="33"/>
    </row>
    <row r="15" spans="1:11" ht="24" customHeight="1">
      <c r="A15" s="33"/>
      <c r="B15" s="32" t="s">
        <v>66</v>
      </c>
      <c r="C15" s="33"/>
      <c r="D15" s="33"/>
      <c r="E15" s="33"/>
      <c r="F15" s="33"/>
      <c r="G15" s="33"/>
      <c r="H15" s="33"/>
      <c r="I15" s="33"/>
      <c r="J15" s="33"/>
      <c r="K15" s="33"/>
    </row>
    <row r="17" spans="1:11">
      <c r="A17" s="50" t="s">
        <v>130</v>
      </c>
      <c r="B17" s="45"/>
      <c r="C17" s="45"/>
      <c r="D17" s="45"/>
      <c r="E17" s="45"/>
      <c r="F17" s="45"/>
      <c r="G17" s="45"/>
      <c r="H17" s="45"/>
      <c r="I17" s="45"/>
      <c r="J17" s="45"/>
      <c r="K17" s="46"/>
    </row>
    <row r="18" spans="1:11" ht="24" customHeight="1">
      <c r="A18" s="15" t="s">
        <v>18</v>
      </c>
      <c r="B18" s="54" t="s">
        <v>131</v>
      </c>
      <c r="C18" s="46"/>
      <c r="D18" s="15" t="s">
        <v>132</v>
      </c>
      <c r="E18" s="54" t="s">
        <v>152</v>
      </c>
      <c r="F18" s="46"/>
      <c r="G18" s="54" t="s">
        <v>133</v>
      </c>
      <c r="H18" s="45"/>
      <c r="I18" s="45"/>
      <c r="J18" s="46"/>
      <c r="K18" s="15" t="s">
        <v>22</v>
      </c>
    </row>
    <row r="19" spans="1:11" ht="40" customHeight="1">
      <c r="A19" s="33"/>
      <c r="B19" s="66"/>
      <c r="C19" s="67"/>
      <c r="D19" s="33"/>
      <c r="E19" s="66"/>
      <c r="F19" s="67"/>
      <c r="G19" s="66"/>
      <c r="H19" s="68"/>
      <c r="I19" s="68"/>
      <c r="J19" s="67"/>
      <c r="K19" s="33"/>
    </row>
    <row r="20" spans="1:11" ht="40" customHeight="1">
      <c r="A20" s="33"/>
      <c r="B20" s="66"/>
      <c r="C20" s="67"/>
      <c r="D20" s="33"/>
      <c r="E20" s="66"/>
      <c r="F20" s="67"/>
      <c r="G20" s="66"/>
      <c r="H20" s="68"/>
      <c r="I20" s="68"/>
      <c r="J20" s="67"/>
      <c r="K20" s="33"/>
    </row>
  </sheetData>
  <mergeCells count="29">
    <mergeCell ref="B20:C20"/>
    <mergeCell ref="E20:F20"/>
    <mergeCell ref="G20:J20"/>
    <mergeCell ref="A4:B4"/>
    <mergeCell ref="E4:F4"/>
    <mergeCell ref="G4:H4"/>
    <mergeCell ref="I4:K4"/>
    <mergeCell ref="B19:C19"/>
    <mergeCell ref="E19:F19"/>
    <mergeCell ref="G19:J19"/>
    <mergeCell ref="A17:K17"/>
    <mergeCell ref="A5:B5"/>
    <mergeCell ref="E5:F5"/>
    <mergeCell ref="G5:H5"/>
    <mergeCell ref="I5:K5"/>
    <mergeCell ref="A6:B6"/>
    <mergeCell ref="J1:K1"/>
    <mergeCell ref="A9:K9"/>
    <mergeCell ref="B18:C18"/>
    <mergeCell ref="E18:F18"/>
    <mergeCell ref="G18:J18"/>
    <mergeCell ref="E6:F6"/>
    <mergeCell ref="G6:H6"/>
    <mergeCell ref="I6:K6"/>
    <mergeCell ref="A7:B7"/>
    <mergeCell ref="E7:F7"/>
    <mergeCell ref="G7:H7"/>
    <mergeCell ref="I7:K7"/>
    <mergeCell ref="A3:K3"/>
  </mergeCells>
  <phoneticPr fontId="4"/>
  <conditionalFormatting sqref="A19:B20 D19:E20 G19:G20 K19:K20">
    <cfRule type="expression" dxfId="2" priority="3">
      <formula>LEFT(A19,4)="＜記入＞"</formula>
    </cfRule>
  </conditionalFormatting>
  <conditionalFormatting sqref="A1:K18">
    <cfRule type="expression" dxfId="1" priority="1">
      <formula>LEFT(A1,4)="＜記入＞"</formula>
    </cfRule>
  </conditionalFormatting>
  <conditionalFormatting sqref="H11:H15">
    <cfRule type="cellIs" dxfId="0" priority="2" operator="equal">
      <formula>"NG"</formula>
    </cfRule>
  </conditionalFormatting>
  <dataValidations count="4">
    <dataValidation type="list" allowBlank="1" showInputMessage="1" showErrorMessage="1" sqref="H11:H15" xr:uid="{44A528E8-174C-4650-A381-ECA4C6353E21}">
      <formula1>"OK,NG"</formula1>
    </dataValidation>
    <dataValidation type="list" allowBlank="1" showInputMessage="1" showErrorMessage="1" errorTitle="入力エラー" error="プルダウンの選択肢から選んでください。" promptTitle="選択" prompt="区分を選択" sqref="B11:B15" xr:uid="{0561D353-05C8-44E2-9DEE-B31AFB3C6D9C}">
      <formula1>"事前確認,変更前バックアップ,作業,事後確認,切り戻し"</formula1>
    </dataValidation>
    <dataValidation type="list" errorStyle="warning" allowBlank="1" showErrorMessage="1" errorTitle="対象環境" error="リストにない値です。このまま入力しますか？" sqref="E6" xr:uid="{CF61BFBD-AEA5-4068-8798-1BB3294D8C86}">
      <formula1>"本番環境,検証環境,開発環境"</formula1>
    </dataValidation>
    <dataValidation type="list" errorStyle="warning" allowBlank="1" showInputMessage="1" showErrorMessage="1" errorTitle="構築項目" error="リストにない値です。このまま入力しますか？" promptTitle="構築項目" prompt="リストから構築項目を選択してください。" sqref="C4" xr:uid="{04F3A5B2-C94F-4235-90BF-C8040D75FCA8}">
      <formula1>"切り戻し,媒体配置,OS環境設定,ディスク構成,サーバ証明書,ユーザ・グループ,Tanium,EDR,Java,Apache,OpenSSL,Tomcat,Tomcatインスタンス,アプリケーション配置,vsftpd,Perl,ASTERIA Warp,CSH,AWSCLI2,ftp,HULFT"</formula1>
    </dataValidation>
  </dataValidations>
  <hyperlinks>
    <hyperlink ref="J1" location="'目次'!A1" display="目次へ戻る" xr:uid="{20945B9F-0D20-4F4A-B4EB-826B9AE77482}"/>
  </hyperlinks>
  <printOptions horizontalCentered="1"/>
  <pageMargins left="0.4" right="0.4" top="0.6" bottom="0.6" header="0.3" footer="0.3"/>
  <pageSetup paperSize="9" scale="66" fitToHeight="0" orientation="landscape" r:id="rId1"/>
  <headerFooter>
    <oddFooter>&amp;L&amp;9 &amp;F&amp;C&amp;9 &amp;P / &amp;N&amp;R&amp;9 &amp;A</oddFooter>
  </headerFooter>
  <rowBreaks count="1" manualBreakCount="1">
    <brk id="8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8F4C9-ECBF-4A71-BD7A-80E9F1EEDEBC}">
  <dimension ref="A1"/>
  <sheetViews>
    <sheetView workbookViewId="0">
      <selection activeCell="A17" sqref="A17:XFD17"/>
    </sheetView>
  </sheetViews>
  <sheetFormatPr defaultRowHeight="11.5"/>
  <cols>
    <col min="1" max="16384" width="8.6640625" style="73"/>
  </cols>
  <sheetData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13</vt:i4>
      </vt:variant>
    </vt:vector>
  </HeadingPairs>
  <TitlesOfParts>
    <vt:vector size="21" baseType="lpstr">
      <vt:lpstr>表紙</vt:lpstr>
      <vt:lpstr>変更履歴</vt:lpstr>
      <vt:lpstr>比較</vt:lpstr>
      <vt:lpstr>目次</vt:lpstr>
      <vt:lpstr>概要・前提条件</vt:lpstr>
      <vt:lpstr>template</vt:lpstr>
      <vt:lpstr>Asteria</vt:lpstr>
      <vt:lpstr>Sheet1</vt:lpstr>
      <vt:lpstr>Asteria!Print_Area</vt:lpstr>
      <vt:lpstr>template!Print_Area</vt:lpstr>
      <vt:lpstr>概要・前提条件!Print_Area</vt:lpstr>
      <vt:lpstr>比較!Print_Area</vt:lpstr>
      <vt:lpstr>表紙!Print_Area</vt:lpstr>
      <vt:lpstr>変更履歴!Print_Area</vt:lpstr>
      <vt:lpstr>目次!Print_Area</vt:lpstr>
      <vt:lpstr>Asteria!Print_Titles</vt:lpstr>
      <vt:lpstr>template!Print_Titles</vt:lpstr>
      <vt:lpstr>概要・前提条件!Print_Titles</vt:lpstr>
      <vt:lpstr>比較!Print_Titles</vt:lpstr>
      <vt:lpstr>変更履歴!Print_Titles</vt:lpstr>
      <vt:lpstr>目次!Print_Titles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fxYc0fc</dc:creator>
  <cp:lastModifiedBy>Office</cp:lastModifiedBy>
  <dcterms:created xsi:type="dcterms:W3CDTF">2015-06-05T18:19:34Z</dcterms:created>
  <dcterms:modified xsi:type="dcterms:W3CDTF">2026-10-06T04:35:05Z</dcterms:modified>
</cp:coreProperties>
</file>